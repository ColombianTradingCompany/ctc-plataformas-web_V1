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Entradas" sheetId="2" state="visible" r:id="rId2"/>
    <sheet name="Scorecard" sheetId="3" state="visible" r:id="rId3"/>
    <sheet name="Calculo" sheetId="4" state="visible" r:id="rId4"/>
    <sheet name="Escalera" sheetId="5" state="visible" r:id="rId5"/>
    <sheet name="Contrato" sheetId="6" state="visible" r:id="rId6"/>
    <sheet name="Disparador" sheetId="7" state="visible" r:id="rId7"/>
    <sheet name="Calendario" sheetId="8" state="visible" r:id="rId8"/>
    <sheet name="Datos_mensual" sheetId="9" state="visible" r:id="rId9"/>
    <sheet name="BackProof" sheetId="10" state="visible" r:id="rId10"/>
    <sheet name="Grado_y_Tyrian" sheetId="11" state="visible" r:id="rId11"/>
    <sheet name="Pila_de_preci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;(&quot;$&quot;#,##0);-"/>
    <numFmt numFmtId="165" formatCode="0.0%"/>
    <numFmt numFmtId="166" formatCode="0.00&quot;×&quot;"/>
    <numFmt numFmtId="167" formatCode="0.000"/>
    <numFmt numFmtId="168" formatCode="0.0000"/>
    <numFmt numFmtId="169" formatCode="0.0"/>
  </numFmts>
  <fonts count="6">
    <font>
      <name val="Calibri"/>
      <family val="2"/>
      <color theme="1"/>
      <sz val="11"/>
      <scheme val="minor"/>
    </font>
    <font>
      <b val="1"/>
      <color rgb="003A0B8F"/>
      <sz val="14"/>
    </font>
    <font>
      <b val="1"/>
      <color rgb="00FFFFFF"/>
      <sz val="10"/>
    </font>
    <font>
      <color rgb="000000FF"/>
      <sz val="10"/>
    </font>
    <font>
      <b val="1"/>
      <sz val="10"/>
    </font>
    <font>
      <color rgb="00777777"/>
      <sz val="8"/>
    </font>
  </fonts>
  <fills count="6">
    <fill>
      <patternFill/>
    </fill>
    <fill>
      <patternFill patternType="gray125"/>
    </fill>
    <fill>
      <patternFill patternType="solid">
        <fgColor rgb="003A0B8F"/>
      </patternFill>
    </fill>
    <fill>
      <patternFill patternType="solid">
        <fgColor rgb="00FFFF00"/>
      </patternFill>
    </fill>
    <fill>
      <patternFill patternType="solid">
        <fgColor rgb="00E6DEF5"/>
      </patternFill>
    </fill>
    <fill>
      <patternFill patternType="solid">
        <fgColor rgb="00FFD9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3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7" fontId="4" fillId="0" borderId="0" applyAlignment="1" pivotButton="0" quotePrefix="0" xfId="0">
      <alignment vertical="top" wrapText="1"/>
    </xf>
    <xf numFmtId="10" fontId="4" fillId="4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169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9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2" fontId="3" fillId="5" borderId="0" applyAlignment="1" pivotButton="0" quotePrefix="0" xfId="0">
      <alignment vertical="top" wrapText="1"/>
    </xf>
    <xf numFmtId="165" fontId="3" fillId="5" borderId="0" applyAlignment="1" pivotButton="0" quotePrefix="0" xfId="0">
      <alignment vertical="top" wrapText="1"/>
    </xf>
    <xf numFmtId="166" fontId="3" fillId="5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PVC · Calculadora CTCx v2.1.1 · Ponderación de Valor de Cosecha Colombia · modelo de plataforma</t>
        </is>
      </c>
    </row>
    <row r="3">
      <c r="A3" s="2" t="inlineStr">
        <is>
          <t>Método: PVC-D2 v2.1.1 · Datos: PVC-D1 v2.1.1 · Edición precargada: PVC-F4-2026 (corte 4-sep-2026, reedición v2.1 9-sep-2026 con series oficiales). Comparador: precio efectivo de cooperativa (PEC) + prima objetivo.</t>
        </is>
      </c>
    </row>
    <row r="4">
      <c r="A4" s="2" t="inlineStr">
        <is>
          <t>Celdas en AZUL = entradas que se editan cada edición. Celdas en NEGRO = fórmulas (no editar). Fondo AMARILLO = parámetros de decisión de CTCx (sólo cambian entre franjas, con acta).</t>
        </is>
      </c>
    </row>
    <row r="5">
      <c r="A5" s="2" t="inlineStr">
        <is>
          <t>Flujo: 1) Entradas → 2) Scorecard → 3) Calculo (automático) → 4) Escalera → 5) Contrato (oferta a un productor) → 6) Disparador (vigilancia diaria del FNC) → 7) Calendario → 8) Pila_de_precios (precio al comprador FCA/CIP/DDP en US$/kg; TODOS sus costos son ESTIMADOS, fondo naranja, hasta tener cotizaciones). Datos_mensual y BackProof contienen la serie reconstruida y el back-proof v2.0 (valores del motor pvc_model_v2.py).</t>
        </is>
      </c>
    </row>
    <row r="6">
      <c r="A6" s="2" t="inlineStr">
        <is>
          <t>Unidades: COP por carga de 125 kg pergamino seco FR 94; C en US¢/lb; TRM en COP/USD; US$/lb sobre 205,2 lb de excelso por carga.</t>
        </is>
      </c>
    </row>
    <row r="7">
      <c r="A7" s="2" t="inlineStr">
        <is>
          <t>Toda cifra debe ser rastreable a PVC-D1 (fuente, fecha). Archivar una copia con el código de edición al publicar. El motor pvc_model_v2.py reproduce esta hoja con código.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78" customWidth="1" min="4" max="4"/>
  </cols>
  <sheetData>
    <row r="1">
      <c r="A1" s="1" t="inlineStr">
        <is>
          <t>Entradas de la edición</t>
        </is>
      </c>
    </row>
    <row r="3">
      <c r="A3" s="3" t="inlineStr">
        <is>
          <t>Parámetro</t>
        </is>
      </c>
      <c r="B3" s="3" t="inlineStr">
        <is>
          <t>Valor</t>
        </is>
      </c>
      <c r="C3" s="3" t="inlineStr">
        <is>
          <t>Unidad</t>
        </is>
      </c>
      <c r="D3" s="3" t="inlineStr">
        <is>
          <t>Fuente / nota (PVC-D1, D2)</t>
        </is>
      </c>
    </row>
    <row r="4">
      <c r="A4" s="2" t="inlineStr">
        <is>
          <t>Código de edición</t>
        </is>
      </c>
      <c r="B4" s="4" t="inlineStr">
        <is>
          <t>PVC-F4-2026</t>
        </is>
      </c>
      <c r="C4" s="2" t="inlineStr"/>
      <c r="D4" s="2" t="inlineStr">
        <is>
          <t>Ficha D3 §1</t>
        </is>
      </c>
    </row>
    <row r="5">
      <c r="A5" s="2" t="inlineStr">
        <is>
          <t>Fecha de corte</t>
        </is>
      </c>
      <c r="B5" s="4" t="inlineStr">
        <is>
          <t>2026-09-04</t>
        </is>
      </c>
      <c r="C5" s="2" t="inlineStr"/>
      <c r="D5" s="2" t="inlineStr">
        <is>
          <t>Edición de transición (D3 §1); calendario regular desde F1-2027</t>
        </is>
      </c>
    </row>
    <row r="6">
      <c r="A6" s="2" t="inlineStr">
        <is>
          <t>FNC mes 1 (abril 2026) – precio interno FR 94 promedio</t>
        </is>
      </c>
      <c r="B6" s="5" t="n">
        <v>2229900</v>
      </c>
      <c r="C6" s="2" t="inlineStr">
        <is>
          <t>COP/carga</t>
        </is>
      </c>
      <c r="D6" s="2" t="inlineStr">
        <is>
          <t>Promedio mensual oficial FNC (D1 §4, Excel Precios, área y producción ago-2026)</t>
        </is>
      </c>
    </row>
    <row r="7">
      <c r="A7" s="2" t="inlineStr">
        <is>
          <t>FNC mes 2 (mayo 2026)</t>
        </is>
      </c>
      <c r="B7" s="5" t="n">
        <v>2229129.032258064</v>
      </c>
      <c r="C7" s="2" t="inlineStr">
        <is>
          <t>COP/carga</t>
        </is>
      </c>
      <c r="D7" s="2" t="inlineStr">
        <is>
          <t>Promedio mensual oficial FNC</t>
        </is>
      </c>
    </row>
    <row r="8">
      <c r="A8" s="2" t="inlineStr">
        <is>
          <t>FNC mes 3 (junio 2026)</t>
        </is>
      </c>
      <c r="B8" s="5" t="n">
        <v>2086866.666666667</v>
      </c>
      <c r="C8" s="2" t="inlineStr">
        <is>
          <t>COP/carga</t>
        </is>
      </c>
      <c r="D8" s="2" t="inlineStr">
        <is>
          <t>Promedio mensual oficial FNC</t>
        </is>
      </c>
    </row>
    <row r="9">
      <c r="A9" s="2" t="inlineStr">
        <is>
          <t>FNC mes 4 (julio 2026)</t>
        </is>
      </c>
      <c r="B9" s="5" t="n">
        <v>2244839</v>
      </c>
      <c r="C9" s="2" t="inlineStr">
        <is>
          <t>COP/carga</t>
        </is>
      </c>
      <c r="D9" s="2" t="inlineStr">
        <is>
          <t>Promedio mensual oficial FNC</t>
        </is>
      </c>
    </row>
    <row r="10">
      <c r="A10" s="2" t="inlineStr">
        <is>
          <t>FNC mes 5 (agosto 2026)</t>
        </is>
      </c>
      <c r="B10" s="5" t="n">
        <v>2263548.387096774</v>
      </c>
      <c r="C10" s="2" t="inlineStr">
        <is>
          <t>COP/carga</t>
        </is>
      </c>
      <c r="D10" s="2" t="inlineStr">
        <is>
          <t>Promedio mensual oficial FNC</t>
        </is>
      </c>
    </row>
    <row r="11">
      <c r="A11" s="2" t="inlineStr">
        <is>
          <t>Promedio FNC 30 días al corte</t>
        </is>
      </c>
      <c r="B11" s="5" t="n">
        <v>2252419</v>
      </c>
      <c r="C11" s="2" t="inlineStr">
        <is>
          <t>COP/carga</t>
        </is>
      </c>
      <c r="D11" s="2" t="inlineStr">
        <is>
          <t>Serie diaria oficial FNC, 31 días calendario 5-ago a 4-sep-2026 (hábiles: 2,248,913)</t>
        </is>
      </c>
    </row>
    <row r="12">
      <c r="A12" s="2" t="inlineStr">
        <is>
          <t>Máximo FNC últimos 90 días</t>
        </is>
      </c>
      <c r="B12" s="5" t="n">
        <v>2520000</v>
      </c>
      <c r="C12" s="2" t="inlineStr">
        <is>
          <t>COP/carga</t>
        </is>
      </c>
      <c r="D12" s="2" t="inlineStr">
        <is>
          <t>Serie diaria oficial, 06-jul-2026 (prueba de §4.5)</t>
        </is>
      </c>
    </row>
    <row r="13">
      <c r="A13" s="2" t="inlineStr">
        <is>
          <t>Máximo FNC últimos 30 días</t>
        </is>
      </c>
      <c r="B13" s="5" t="n">
        <v>2395000</v>
      </c>
      <c r="C13" s="2" t="inlineStr">
        <is>
          <t>COP/carga</t>
        </is>
      </c>
      <c r="D13" s="2" t="inlineStr">
        <is>
          <t>Serie diaria oficial, 18-ago-2026 (prueba de §4.5)</t>
        </is>
      </c>
    </row>
    <row r="14">
      <c r="A14" s="2" t="inlineStr">
        <is>
          <t>Promedio FNC últimos 180 días</t>
        </is>
      </c>
      <c r="B14" s="5" t="n">
        <v>2213674</v>
      </c>
      <c r="C14" s="2" t="inlineStr">
        <is>
          <t>COP/carga</t>
        </is>
      </c>
      <c r="D14" s="2" t="inlineStr">
        <is>
          <t>Serie diaria oficial, 8-mar a 4-sep-2026 (prueba de §4.5)</t>
        </is>
      </c>
    </row>
    <row r="15">
      <c r="A15" s="2" t="inlineStr">
        <is>
          <t>Precio FNC FR 94 el día de corte</t>
        </is>
      </c>
      <c r="B15" s="5" t="n">
        <v>2080000</v>
      </c>
      <c r="C15" s="2" t="inlineStr">
        <is>
          <t>COP/carga</t>
        </is>
      </c>
      <c r="D15" s="2" t="inlineStr">
        <is>
          <t>FNC 4-sep-2026</t>
        </is>
      </c>
    </row>
    <row r="16">
      <c r="A16" s="2" t="inlineStr">
        <is>
          <t>Sobreprecio incondicional de cooperativa PEC-ADD</t>
        </is>
      </c>
      <c r="B16" s="5" t="n">
        <v>60000</v>
      </c>
      <c r="C16" s="2" t="inlineStr">
        <is>
          <t>COP/carga</t>
        </is>
      </c>
      <c r="D16" s="2" t="inlineStr">
        <is>
          <t>D1 §5: tableros Alto Occidente / Norte de Caldas / Aguadas + reliquidación; rango 40.000–90.000; PIC/MECIC = 0</t>
        </is>
      </c>
    </row>
    <row r="17">
      <c r="A17" s="2" t="inlineStr">
        <is>
          <t>Prima objetivo p sobre el PEC de 30 días</t>
        </is>
      </c>
      <c r="B17" s="6" t="n">
        <v>0.08</v>
      </c>
      <c r="C17" s="2" t="inlineStr">
        <is>
          <t>%</t>
        </is>
      </c>
      <c r="D17" s="2" t="inlineStr">
        <is>
          <t>D2 §4.4 (decisión CTCx)</t>
        </is>
      </c>
    </row>
    <row r="18">
      <c r="A18" s="2" t="inlineStr">
        <is>
          <t>C proyectado (promedio de contratos de los meses de venta)</t>
        </is>
      </c>
      <c r="B18" s="4" t="n">
        <v>296</v>
      </c>
      <c r="C18" s="2" t="inlineStr">
        <is>
          <t>US¢/lb</t>
        </is>
      </c>
      <c r="D18" s="2" t="inlineStr">
        <is>
          <t>ICE Dic-26 al 4-sep-2026 (D2 §4.2: strip de la ventana de venta)</t>
        </is>
      </c>
    </row>
    <row r="19">
      <c r="A19" s="2" t="inlineStr">
        <is>
          <t>Diferencial de referencia Δ</t>
        </is>
      </c>
      <c r="B19" s="7" t="n">
        <v>0.3809</v>
      </c>
      <c r="C19" s="2" t="inlineStr">
        <is>
          <t>US$/lb</t>
        </is>
      </c>
      <c r="D19" s="2" t="inlineStr">
        <is>
          <t>Derivado del precio FNC del corte con la TRM oficial (D1 §2)</t>
        </is>
      </c>
    </row>
    <row r="20">
      <c r="A20" s="2" t="inlineStr">
        <is>
          <t>TRM spot al corte</t>
        </is>
      </c>
      <c r="B20" s="4" t="n">
        <v>3141.36</v>
      </c>
      <c r="C20" s="2" t="inlineStr">
        <is>
          <t>COP/USD</t>
        </is>
      </c>
      <c r="D20" s="2" t="inlineStr">
        <is>
          <t>Banco de la República / Superfinanciera, datos.gov.co (32sa-8pi3), vigencia 4-sep-2026</t>
        </is>
      </c>
    </row>
    <row r="21">
      <c r="A21" s="2" t="inlineStr">
        <is>
          <t>Coeficiente k (traslado FNC)</t>
        </is>
      </c>
      <c r="B21" s="4" t="n">
        <v>0.967</v>
      </c>
      <c r="C21" s="2" t="inlineStr"/>
      <c r="D21" s="2" t="inlineStr">
        <is>
          <t>Calibrado con FNC 11-ago-2026</t>
        </is>
      </c>
    </row>
    <row r="22">
      <c r="A22" s="2" t="inlineStr">
        <is>
          <t>Libras de excelso por carga FR 94</t>
        </is>
      </c>
      <c r="B22" s="4" t="n">
        <v>205.2</v>
      </c>
      <c r="C22" s="2" t="inlineStr">
        <is>
          <t>lb</t>
        </is>
      </c>
      <c r="D22" s="2" t="inlineStr">
        <is>
          <t>93,09 kg × 2,20462</t>
        </is>
      </c>
    </row>
    <row r="23">
      <c r="A23" s="2" t="inlineStr">
        <is>
          <t>Libras de pergamino por carga</t>
        </is>
      </c>
      <c r="B23" s="4" t="n">
        <v>275.58</v>
      </c>
      <c r="C23" s="2" t="inlineStr">
        <is>
          <t>lb</t>
        </is>
      </c>
      <c r="D23" s="2" t="inlineStr">
        <is>
          <t>125 kg × 2,20462</t>
        </is>
      </c>
    </row>
    <row r="24">
      <c r="A24" s="2" t="inlineStr">
        <is>
          <t>Costo medio FEPCafé (último publicado)</t>
        </is>
      </c>
      <c r="B24" s="5" t="n">
        <v>1550805</v>
      </c>
      <c r="C24" s="2" t="inlineStr">
        <is>
          <t>COP/carga</t>
        </is>
      </c>
      <c r="D24" s="2" t="inlineStr">
        <is>
          <t>FEPCafé Reporte mensual feb-2026</t>
        </is>
      </c>
    </row>
    <row r="25">
      <c r="A25" s="2" t="inlineStr">
        <is>
          <t>Escalamiento del costo al corte</t>
        </is>
      </c>
      <c r="B25" s="8" t="n">
        <v>0.06</v>
      </c>
      <c r="C25" s="2" t="inlineStr">
        <is>
          <t>%</t>
        </is>
      </c>
      <c r="D25" s="2" t="inlineStr">
        <is>
          <t>Índice 69/25/6 (D2 §5); +6% feb→ago 2026 (estimado)</t>
        </is>
      </c>
    </row>
    <row r="26">
      <c r="A26" s="2" t="inlineStr">
        <is>
          <t>Margen de dignidad</t>
        </is>
      </c>
      <c r="B26" s="6" t="n">
        <v>0.5</v>
      </c>
      <c r="C26" s="2" t="inlineStr">
        <is>
          <t>%</t>
        </is>
      </c>
      <c r="D26" s="2" t="inlineStr">
        <is>
          <t>Decisión CTCx (D2 §5): piso = costo × 1,50</t>
        </is>
      </c>
    </row>
    <row r="27">
      <c r="A27" s="2" t="inlineStr">
        <is>
          <t>Desembolso de caja como fracción del costo</t>
        </is>
      </c>
      <c r="B27" s="6" t="n">
        <v>0.73</v>
      </c>
      <c r="C27" s="2" t="inlineStr">
        <is>
          <t>%</t>
        </is>
      </c>
      <c r="D27" s="2" t="inlineStr">
        <is>
          <t>D2 §5.2 (referencia declarada)</t>
        </is>
      </c>
    </row>
    <row r="28">
      <c r="A28" s="2" t="inlineStr">
        <is>
          <t>Peso mirada atrás (L)</t>
        </is>
      </c>
      <c r="B28" s="6" t="n">
        <v>0.6</v>
      </c>
      <c r="C28" s="2" t="inlineStr">
        <is>
          <t>%</t>
        </is>
      </c>
      <c r="D28" s="2" t="inlineStr">
        <is>
          <t>D2 §4.3</t>
        </is>
      </c>
    </row>
    <row r="29">
      <c r="A29" s="2" t="inlineStr">
        <is>
          <t>Peso proyección (P)</t>
        </is>
      </c>
      <c r="B29" s="6" t="n">
        <v>0.4</v>
      </c>
      <c r="C29" s="2" t="inlineStr">
        <is>
          <t>%</t>
        </is>
      </c>
      <c r="D29" s="2" t="inlineStr">
        <is>
          <t>D2 §4.3</t>
        </is>
      </c>
    </row>
    <row r="30">
      <c r="A30" s="2" t="inlineStr">
        <is>
          <t>Tope de impulso</t>
        </is>
      </c>
      <c r="B30" s="6" t="n">
        <v>0.05</v>
      </c>
      <c r="C30" s="2" t="inlineStr">
        <is>
          <t>%</t>
        </is>
      </c>
      <c r="D30" s="2" t="inlineStr">
        <is>
          <t>D2 §4.2</t>
        </is>
      </c>
    </row>
    <row r="31">
      <c r="A31" s="2" t="inlineStr">
        <is>
          <t>Paso del modificador por punto</t>
        </is>
      </c>
      <c r="B31" s="6" t="n">
        <v>0.075</v>
      </c>
      <c r="C31" s="2" t="inlineStr">
        <is>
          <t>%</t>
        </is>
      </c>
      <c r="D31" s="2" t="inlineStr">
        <is>
          <t>D2 §6</t>
        </is>
      </c>
    </row>
    <row r="32">
      <c r="A32" s="2" t="inlineStr">
        <is>
          <t>Collar del modificador</t>
        </is>
      </c>
      <c r="B32" s="6" t="n">
        <v>0.15</v>
      </c>
      <c r="C32" s="2" t="inlineStr">
        <is>
          <t>%</t>
        </is>
      </c>
      <c r="D32" s="2" t="inlineStr">
        <is>
          <t>D2 §6</t>
        </is>
      </c>
    </row>
    <row r="33">
      <c r="A33" s="2" t="inlineStr">
        <is>
          <t>PVC de la franja anterior (0 si no existe)</t>
        </is>
      </c>
      <c r="B33" s="5" t="n">
        <v>0</v>
      </c>
      <c r="C33" s="2" t="inlineStr">
        <is>
          <t>COP/carga</t>
        </is>
      </c>
      <c r="D33" s="2" t="inlineStr">
        <is>
          <t>D2 §7.1</t>
        </is>
      </c>
    </row>
    <row r="34">
      <c r="A34" s="2" t="inlineStr">
        <is>
          <t>Banda muerta bajista entre franjas</t>
        </is>
      </c>
      <c r="B34" s="6" t="n">
        <v>0.05</v>
      </c>
      <c r="C34" s="2" t="inlineStr">
        <is>
          <t>%</t>
        </is>
      </c>
      <c r="D34" s="2" t="inlineStr">
        <is>
          <t>D2 §7.1: bajadas menores no se trasladan</t>
        </is>
      </c>
    </row>
    <row r="35">
      <c r="A35" s="2" t="inlineStr">
        <is>
          <t>Tope bajista entre franjas</t>
        </is>
      </c>
      <c r="B35" s="6" t="n">
        <v>0.15</v>
      </c>
      <c r="C35" s="2" t="inlineStr">
        <is>
          <t>%</t>
        </is>
      </c>
      <c r="D35" s="2" t="inlineStr">
        <is>
          <t>D2 §7.1</t>
        </is>
      </c>
    </row>
    <row r="36">
      <c r="A36" s="2" t="inlineStr">
        <is>
          <t>Redondeo</t>
        </is>
      </c>
      <c r="B36" s="5" t="n">
        <v>10000</v>
      </c>
      <c r="C36" s="2" t="inlineStr">
        <is>
          <t>COP</t>
        </is>
      </c>
      <c r="D36" s="2" t="inlineStr">
        <is>
          <t>D2 §7.1</t>
        </is>
      </c>
    </row>
    <row r="37">
      <c r="A37" s="2" t="inlineStr">
        <is>
          <t>Multiplicador Black (80,0–83,9)</t>
        </is>
      </c>
      <c r="B37" s="9" t="n">
        <v>1.15</v>
      </c>
      <c r="C37" s="2" t="inlineStr">
        <is>
          <t>×</t>
        </is>
      </c>
      <c r="D37" s="2" t="inlineStr">
        <is>
          <t>D2 §8 (decisión CTCx v2.0.1)</t>
        </is>
      </c>
    </row>
    <row r="38">
      <c r="A38" s="2" t="inlineStr">
        <is>
          <t>Multiplicador Red (84,0–85,9)</t>
        </is>
      </c>
      <c r="B38" s="9" t="n">
        <v>1.3</v>
      </c>
      <c r="C38" s="2" t="inlineStr">
        <is>
          <t>×</t>
        </is>
      </c>
      <c r="D38" s="2" t="inlineStr">
        <is>
          <t>D2 §8</t>
        </is>
      </c>
    </row>
    <row r="39">
      <c r="A39" s="2" t="inlineStr">
        <is>
          <t>Multiplicador Blue (86,0–87,9)</t>
        </is>
      </c>
      <c r="B39" s="9" t="n">
        <v>1.6</v>
      </c>
      <c r="C39" s="2" t="inlineStr">
        <is>
          <t>×</t>
        </is>
      </c>
      <c r="D39" s="2" t="inlineStr">
        <is>
          <t>D2 §8</t>
        </is>
      </c>
    </row>
    <row r="40">
      <c r="A40" s="2" t="inlineStr">
        <is>
          <t>Multiplicador Gold (88,0–88,9)</t>
        </is>
      </c>
      <c r="B40" s="9" t="n">
        <v>2</v>
      </c>
      <c r="C40" s="2" t="inlineStr">
        <is>
          <t>×</t>
        </is>
      </c>
      <c r="D40" s="2" t="inlineStr">
        <is>
          <t>D2 §8</t>
        </is>
      </c>
    </row>
    <row r="41">
      <c r="A41" s="2" t="inlineStr">
        <is>
          <t>Retiro libre por corte mensual</t>
        </is>
      </c>
      <c r="B41" s="6" t="n">
        <v>0.25</v>
      </c>
      <c r="C41" s="2" t="inlineStr">
        <is>
          <t>%</t>
        </is>
      </c>
      <c r="D41" s="2" t="inlineStr">
        <is>
          <t>D2 §11.2</t>
        </is>
      </c>
    </row>
    <row r="42">
      <c r="A42" s="2" t="inlineStr">
        <is>
          <t>Cifra de salida (productor y tostador)</t>
        </is>
      </c>
      <c r="B42" s="6" t="n">
        <v>0.075</v>
      </c>
      <c r="C42" s="2" t="inlineStr">
        <is>
          <t>% del PVC por carga</t>
        </is>
      </c>
      <c r="D42" s="2" t="inlineStr">
        <is>
          <t>D2 §11.2, §12</t>
        </is>
      </c>
    </row>
    <row r="43">
      <c r="A43" s="2" t="inlineStr">
        <is>
          <t>Descuento por antigüedad de la catación</t>
        </is>
      </c>
      <c r="B43" s="6" t="n">
        <v>0.05</v>
      </c>
      <c r="C43" s="2" t="inlineStr">
        <is>
          <t>% por franja</t>
        </is>
      </c>
      <c r="D43" s="2" t="inlineStr">
        <is>
          <t>D2 §11.2</t>
        </is>
      </c>
    </row>
    <row r="44">
      <c r="A44" s="2" t="inlineStr">
        <is>
          <t>Anticipo del tostador en plataforma</t>
        </is>
      </c>
      <c r="B44" s="6" t="n">
        <v>0.6</v>
      </c>
      <c r="C44" s="2" t="inlineStr">
        <is>
          <t>%</t>
        </is>
      </c>
      <c r="D44" s="2" t="inlineStr">
        <is>
          <t>D2 §12 (resto a la confirmación de compra)</t>
        </is>
      </c>
    </row>
    <row r="45">
      <c r="A45" s="2" t="inlineStr">
        <is>
          <t>Flete marítimo de la referencia</t>
        </is>
      </c>
      <c r="B45" s="7" t="n">
        <v>0.12</v>
      </c>
      <c r="C45" s="2" t="inlineStr">
        <is>
          <t>US$/lb</t>
        </is>
      </c>
      <c r="D45" s="2" t="inlineStr">
        <is>
          <t>Referencia en destino (D2 §13.1)</t>
        </is>
      </c>
    </row>
    <row r="46">
      <c r="A46" s="2" t="inlineStr">
        <is>
          <t>Referencia FOB grado base</t>
        </is>
      </c>
      <c r="B46" s="7" t="n">
        <v>3.26</v>
      </c>
      <c r="C46" s="2" t="inlineStr">
        <is>
          <t>US$/lb</t>
        </is>
      </c>
      <c r="D46" s="2" t="inlineStr">
        <is>
          <t>C + diferencial colombiano al corte</t>
        </is>
      </c>
    </row>
    <row r="47">
      <c r="A47" s="2" t="inlineStr">
        <is>
          <t>Referencia FOB Black</t>
        </is>
      </c>
      <c r="B47" s="7" t="n">
        <v>3.8</v>
      </c>
      <c r="C47" s="2" t="inlineStr">
        <is>
          <t>US$/lb</t>
        </is>
      </c>
      <c r="D47" s="2" t="inlineStr">
        <is>
          <t>SCTG reescalada (estimado)</t>
        </is>
      </c>
    </row>
    <row r="48">
      <c r="A48" s="2" t="inlineStr">
        <is>
          <t>Referencia FOB Red</t>
        </is>
      </c>
      <c r="B48" s="7" t="n">
        <v>4.3</v>
      </c>
      <c r="C48" s="2" t="inlineStr">
        <is>
          <t>US$/lb</t>
        </is>
      </c>
      <c r="D48" s="2" t="inlineStr">
        <is>
          <t>SCTG reescalada (estimado)</t>
        </is>
      </c>
    </row>
    <row r="49">
      <c r="A49" s="2" t="inlineStr">
        <is>
          <t>Referencia FOB Blue</t>
        </is>
      </c>
      <c r="B49" s="7" t="n">
        <v>5.6</v>
      </c>
      <c r="C49" s="2" t="inlineStr">
        <is>
          <t>US$/lb</t>
        </is>
      </c>
      <c r="D49" s="2" t="inlineStr">
        <is>
          <t>SCTG cuartil superior reescalado (estimado)</t>
        </is>
      </c>
    </row>
    <row r="50">
      <c r="A50" s="2" t="inlineStr">
        <is>
          <t>Referencia FOB Gold</t>
        </is>
      </c>
      <c r="B50" s="7" t="n">
        <v>7.4</v>
      </c>
      <c r="C50" s="2" t="inlineStr">
        <is>
          <t>US$/lb</t>
        </is>
      </c>
      <c r="D50" s="2" t="inlineStr">
        <is>
          <t>SCTG cuartil superior reescalado (estimado)</t>
        </is>
      </c>
    </row>
    <row r="51">
      <c r="A51" s="2" t="inlineStr">
        <is>
          <t>Tarifa de catación individual</t>
        </is>
      </c>
      <c r="B51" s="5" t="n">
        <v>200000</v>
      </c>
      <c r="C51" s="2" t="inlineStr">
        <is>
          <t>COP/lote</t>
        </is>
      </c>
      <c r="D51" s="2" t="inlineStr">
        <is>
          <t>D2 §11.4: 120.000 + 30.000 + 50.000</t>
        </is>
      </c>
    </row>
    <row r="52">
      <c r="A52" s="2" t="inlineStr">
        <is>
          <t>Subsidio de catación por defecto</t>
        </is>
      </c>
      <c r="B52" s="6" t="n">
        <v>0.3</v>
      </c>
      <c r="C52" s="2" t="inlineStr">
        <is>
          <t>%</t>
        </is>
      </c>
      <c r="D52" s="2" t="inlineStr">
        <is>
          <t>D2 §11.4 (el productor paga el resto por adelantado)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6" customWidth="1" min="3" max="3"/>
    <col width="14" customWidth="1" min="4" max="4"/>
    <col width="90" customWidth="1" min="5" max="5"/>
  </cols>
  <sheetData>
    <row r="1">
      <c r="A1" s="1" t="inlineStr">
        <is>
          <t>Scorecard de factores paralelos (D2 §6)</t>
        </is>
      </c>
    </row>
    <row r="3">
      <c r="A3" s="3" t="inlineStr">
        <is>
          <t>Factor</t>
        </is>
      </c>
      <c r="B3" s="3" t="inlineStr">
        <is>
          <t>Peso</t>
        </is>
      </c>
      <c r="C3" s="3" t="inlineStr">
        <is>
          <t>Puntaje (−2…+2)</t>
        </is>
      </c>
      <c r="D3" s="3" t="inlineStr">
        <is>
          <t>Contribución</t>
        </is>
      </c>
      <c r="E3" s="3" t="inlineStr">
        <is>
          <t>Justificación / dato (D1)</t>
        </is>
      </c>
    </row>
    <row r="4">
      <c r="A4" s="2" t="inlineStr">
        <is>
          <t>Sub-índice O&amp;D cafetero</t>
        </is>
      </c>
      <c r="B4" s="10" t="n">
        <v>0.3</v>
      </c>
      <c r="C4" s="4" t="n">
        <v>1</v>
      </c>
      <c r="D4" s="11">
        <f>B4*C4</f>
        <v/>
      </c>
      <c r="E4" s="2" t="inlineStr">
        <is>
          <t>Stocks certificados 223.911 sacos (mínimo desde 1999); cola de graduación baja; curva en backwardation; balance global excedentario compensado por caída de producción colombiana.</t>
        </is>
      </c>
    </row>
    <row r="5">
      <c r="A5" s="2" t="inlineStr">
        <is>
          <t>Clima / ENSO</t>
        </is>
      </c>
      <c r="B5" s="10" t="n">
        <v>0.2</v>
      </c>
      <c r="C5" s="4" t="n">
        <v>1</v>
      </c>
      <c r="D5" s="11">
        <f>B5*C5</f>
        <v/>
      </c>
      <c r="E5" s="2" t="inlineStr">
        <is>
          <t>NOAA: &gt;90% de probabilidad de El Niño muy fuerte OND 2026; amenaza declarada, impacto no materializado.</t>
        </is>
      </c>
    </row>
    <row r="6">
      <c r="A6" s="2" t="inlineStr">
        <is>
          <t>BRL/USD</t>
        </is>
      </c>
      <c r="B6" s="10" t="n">
        <v>0.15</v>
      </c>
      <c r="C6" s="4" t="n">
        <v>0</v>
      </c>
      <c r="D6" s="11">
        <f>B6*C6</f>
        <v/>
      </c>
      <c r="E6" s="2" t="inlineStr">
        <is>
          <t>Real en rango 5,13–5,20; sin señal direccional.</t>
        </is>
      </c>
    </row>
    <row r="7">
      <c r="A7" s="2" t="inlineStr">
        <is>
          <t>COP/USD (TRM)</t>
        </is>
      </c>
      <c r="B7" s="10" t="n">
        <v>0.1</v>
      </c>
      <c r="C7" s="4" t="n">
        <v>-1</v>
      </c>
      <c r="D7" s="11">
        <f>B7*C7</f>
        <v/>
      </c>
      <c r="E7" s="2" t="inlineStr">
        <is>
          <t>Peso fuerte (~3.130–3.220), −22,7% a/a; reduce ingresos en COP.</t>
        </is>
      </c>
    </row>
    <row r="8">
      <c r="A8" s="2" t="inlineStr">
        <is>
          <t>Petróleo / fertilizantes</t>
        </is>
      </c>
      <c r="B8" s="10" t="n">
        <v>0.1</v>
      </c>
      <c r="C8" s="4" t="n">
        <v>1</v>
      </c>
      <c r="D8" s="11">
        <f>B8*C8</f>
        <v/>
      </c>
      <c r="E8" s="2" t="inlineStr">
        <is>
          <t>Brent ~US$96 (+21% m/m); fertilizantes +22,5% en 2026.</t>
        </is>
      </c>
    </row>
    <row r="9">
      <c r="A9" s="2" t="inlineStr">
        <is>
          <t>Político / comercial</t>
        </is>
      </c>
      <c r="B9" s="10" t="n">
        <v>0.1</v>
      </c>
      <c r="C9" s="4" t="n">
        <v>1</v>
      </c>
      <c r="D9" s="11">
        <f>B9*C9</f>
        <v/>
      </c>
      <c r="E9" s="2" t="inlineStr">
        <is>
          <t>Arancel 50% EE.UU. a Brasil desvía demanda hacia Colombia; EUDR aplazado.</t>
        </is>
      </c>
    </row>
    <row r="10">
      <c r="A10" s="2" t="inlineStr">
        <is>
          <t>Posicionamiento especulativo</t>
        </is>
      </c>
      <c r="B10" s="10" t="n">
        <v>0.05</v>
      </c>
      <c r="C10" s="4" t="n">
        <v>-1</v>
      </c>
      <c r="D10" s="11">
        <f>B10*C10</f>
        <v/>
      </c>
      <c r="E10" s="2" t="inlineStr">
        <is>
          <t>Liquidación de largos; sondeo Reuters: arábica ~US$3/lb a fin de año.</t>
        </is>
      </c>
    </row>
    <row r="11">
      <c r="A11" s="12" t="inlineStr">
        <is>
          <t>Puntaje neto</t>
        </is>
      </c>
      <c r="B11" s="13">
        <f>SUM(B4:B10)</f>
        <v/>
      </c>
      <c r="D11" s="14">
        <f>SUM(D4:D10)</f>
        <v/>
      </c>
    </row>
    <row r="12">
      <c r="A12" s="12" t="inlineStr">
        <is>
          <t>Modificador (acotado) = collar[paso × puntaje]</t>
        </is>
      </c>
      <c r="D12" s="15">
        <f>MAX(-Entradas!$B$32,MIN(Entradas!$B$32,Entradas!$B$31*D11))</f>
        <v/>
      </c>
    </row>
    <row r="14">
      <c r="A14" s="12" t="inlineStr">
        <is>
          <t>Sub-índice de oferta y demanda cafetera (D2 §6.1) – alimenta el puntaje del factor 1</t>
        </is>
      </c>
    </row>
    <row r="15">
      <c r="A15" s="3" t="inlineStr">
        <is>
          <t>Componente</t>
        </is>
      </c>
      <c r="B15" s="3" t="inlineStr">
        <is>
          <t>Peso</t>
        </is>
      </c>
      <c r="C15" s="3" t="inlineStr">
        <is>
          <t>Puntaje (−2…+2)</t>
        </is>
      </c>
      <c r="D15" s="3" t="inlineStr">
        <is>
          <t>Contribución</t>
        </is>
      </c>
      <c r="E15" s="3" t="inlineStr">
        <is>
          <t>Lectura al corte</t>
        </is>
      </c>
    </row>
    <row r="16">
      <c r="A16" s="2" t="inlineStr">
        <is>
          <t>Nivel de stocks certificados vs. rango 5 años</t>
        </is>
      </c>
      <c r="B16" s="10" t="n">
        <v>0.25</v>
      </c>
      <c r="C16" s="4" t="n">
        <v>2</v>
      </c>
      <c r="D16" s="11">
        <f>B16*C16</f>
        <v/>
      </c>
      <c r="E16" s="2" t="inlineStr">
        <is>
          <t>223.911 sacos el 1-sep: mínimo desde 1999</t>
        </is>
      </c>
    </row>
    <row r="17">
      <c r="A17" s="2" t="inlineStr">
        <is>
          <t>Tendencia 20 días de stocks certificados</t>
        </is>
      </c>
      <c r="B17" s="10" t="n">
        <v>0.15</v>
      </c>
      <c r="C17" s="4" t="n">
        <v>2</v>
      </c>
      <c r="D17" s="11">
        <f>B17*C17</f>
        <v/>
      </c>
      <c r="E17" s="2" t="inlineStr">
        <is>
          <t>264.179 → 231.445 → 223.911: −15% en ~20 días</t>
        </is>
      </c>
    </row>
    <row r="18">
      <c r="A18" s="2" t="inlineStr">
        <is>
          <t>Cola de graduación y tendencia 5 días</t>
        </is>
      </c>
      <c r="B18" s="10" t="n">
        <v>0.15</v>
      </c>
      <c r="C18" s="4" t="n">
        <v>1</v>
      </c>
      <c r="D18" s="11">
        <f>B18*C18</f>
        <v/>
      </c>
      <c r="E18" s="2" t="inlineStr">
        <is>
          <t>Sin cola relevante reportada</t>
        </is>
      </c>
    </row>
    <row r="19">
      <c r="A19" s="2" t="inlineStr">
        <is>
          <t>Estructura de la curva (backwardation)</t>
        </is>
      </c>
      <c r="B19" s="10" t="n">
        <v>0.1</v>
      </c>
      <c r="C19" s="4" t="n">
        <v>1</v>
      </c>
      <c r="D19" s="11">
        <f>B19*C19</f>
        <v/>
      </c>
      <c r="E19" s="2" t="inlineStr">
        <is>
          <t>Backwardation moderada</t>
        </is>
      </c>
    </row>
    <row r="20">
      <c r="A20" s="2" t="inlineStr">
        <is>
          <t>Balance global O&amp;D (Brasil, Vietnam)</t>
        </is>
      </c>
      <c r="B20" s="10" t="n">
        <v>0.2</v>
      </c>
      <c r="C20" s="4" t="n">
        <v>-2</v>
      </c>
      <c r="D20" s="11">
        <f>B20*C20</f>
        <v/>
      </c>
      <c r="E20" s="2" t="inlineStr">
        <is>
          <t>Superávit 8,2 M sacos 2026/27; Brasil 75–77 M</t>
        </is>
      </c>
    </row>
    <row r="21">
      <c r="A21" s="2" t="inlineStr">
        <is>
          <t>Balance colombiano (producción 12 meses)</t>
        </is>
      </c>
      <c r="B21" s="10" t="n">
        <v>0.15</v>
      </c>
      <c r="C21" s="4" t="n">
        <v>2</v>
      </c>
      <c r="D21" s="11">
        <f>B21*C21</f>
        <v/>
      </c>
      <c r="E21" s="2" t="inlineStr">
        <is>
          <t>12,4 M sacos, −17% a/a</t>
        </is>
      </c>
    </row>
    <row r="22">
      <c r="A22" s="12" t="inlineStr">
        <is>
          <t>Sub-índice neto</t>
        </is>
      </c>
      <c r="D22" s="14">
        <f>SUM(D16:D21)</f>
        <v/>
      </c>
    </row>
    <row r="23">
      <c r="A23" s="2" t="inlineStr">
        <is>
          <t>Puntaje sugerido para el factor 1 (≥+1,5→+2; +0,5…+1,5→+1; −0,5…+0,5→0; −1,5…−0,5→−1; ≤−1,5→−2)</t>
        </is>
      </c>
      <c r="D23" s="16">
        <f>IF(D22&gt;=1.5,2,IF(D22&gt;=0.5,1,IF(D22&gt;-0.5,0,IF(D22&gt;-1.5,-1,-2))))</f>
        <v/>
      </c>
    </row>
    <row r="24">
      <c r="A24" s="2" t="inlineStr">
        <is>
          <t>Copie el valor de D23 en C4 si el comité lo ratifica (mediana de tres puntajes; pre-registro con sello de tiempo).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78" customWidth="1" min="2" max="2"/>
    <col width="20" customWidth="1" min="3" max="3"/>
  </cols>
  <sheetData>
    <row r="1">
      <c r="A1" s="1" t="inlineStr">
        <is>
          <t>Cálculo del PVC (D2 §4–7)</t>
        </is>
      </c>
    </row>
    <row r="3">
      <c r="A3" s="3" t="inlineStr">
        <is>
          <t>Paso</t>
        </is>
      </c>
      <c r="B3" s="3" t="inlineStr">
        <is>
          <t>Fórmula</t>
        </is>
      </c>
      <c r="C3" s="3" t="inlineStr">
        <is>
          <t>Valor</t>
        </is>
      </c>
    </row>
    <row r="4">
      <c r="A4" s="2" t="inlineStr">
        <is>
          <t>L – mirada atrás ponderada 1:2:3:4:5</t>
        </is>
      </c>
      <c r="B4" s="17" t="inlineStr">
        <is>
          <t>(Entradas!$B$6*1+Entradas!$B$7*2+Entradas!$B$8*3+Entradas!$B$9*4+Entradas!$B$10*5)/15</t>
        </is>
      </c>
      <c r="C4" s="18">
        <f>(Entradas!$B$6*1+Entradas!$B$7*2+Entradas!$B$8*3+Entradas!$B$9*4+Entradas!$B$10*5)/15</f>
        <v/>
      </c>
    </row>
    <row r="5">
      <c r="A5" s="2" t="inlineStr">
        <is>
          <t>Impulso (acotado)</t>
        </is>
      </c>
      <c r="B5" s="17" t="inlineStr">
        <is>
          <t>MAX(-Entradas!$B$30,MIN(Entradas!$B$30,0.5*(Entradas!$B$10/Entradas!$B$6-1)*3/5))</t>
        </is>
      </c>
      <c r="C5" s="19">
        <f>MAX(-Entradas!$B$30,MIN(Entradas!$B$30,0.5*(Entradas!$B$10/Entradas!$B$6-1)*3/5))</f>
        <v/>
      </c>
    </row>
    <row r="6">
      <c r="A6" s="2" t="inlineStr">
        <is>
          <t>P sin impulso – (C/100+Δ)×lb×k×TRM</t>
        </is>
      </c>
      <c r="B6" s="17" t="inlineStr">
        <is>
          <t>(Entradas!$B$18/100+Entradas!$B$19)*Entradas!$B$22*Entradas!$B$21*Entradas!$B$20</t>
        </is>
      </c>
      <c r="C6" s="18">
        <f>(Entradas!$B$18/100+Entradas!$B$19)*Entradas!$B$22*Entradas!$B$21*Entradas!$B$20</f>
        <v/>
      </c>
    </row>
    <row r="7">
      <c r="A7" s="2" t="inlineStr">
        <is>
          <t>P – proyección con impulso</t>
        </is>
      </c>
      <c r="B7" s="17" t="inlineStr">
        <is>
          <t>C6*(1+C5)</t>
        </is>
      </c>
      <c r="C7" s="18">
        <f>C6*(1+C5)</f>
        <v/>
      </c>
    </row>
    <row r="8">
      <c r="A8" s="2" t="inlineStr">
        <is>
          <t>Ancla – mezcla L/P</t>
        </is>
      </c>
      <c r="B8" s="17" t="inlineStr">
        <is>
          <t>Entradas!$B$28*C4+Entradas!$B$29*C7</t>
        </is>
      </c>
      <c r="C8" s="18">
        <f>Entradas!$B$28*C4+Entradas!$B$29*C7</f>
        <v/>
      </c>
    </row>
    <row r="9">
      <c r="A9" s="2" t="inlineStr">
        <is>
          <t>PEC 30 días – FNC 30 días + PEC-ADD</t>
        </is>
      </c>
      <c r="B9" s="17" t="inlineStr">
        <is>
          <t>Entradas!$B$11+Entradas!$B$16</t>
        </is>
      </c>
      <c r="C9" s="18">
        <f>Entradas!$B$11+Entradas!$B$16</f>
        <v/>
      </c>
    </row>
    <row r="10">
      <c r="A10" s="2" t="inlineStr">
        <is>
          <t>Mínimo de atractivo – PEC 30 días × (1+p)</t>
        </is>
      </c>
      <c r="B10" s="17" t="inlineStr">
        <is>
          <t>C9*(1+Entradas!$B$17)</t>
        </is>
      </c>
      <c r="C10" s="18">
        <f>C9*(1+Entradas!$B$17)</f>
        <v/>
      </c>
    </row>
    <row r="11">
      <c r="A11" s="2" t="inlineStr">
        <is>
          <t>Costo escalado al corte</t>
        </is>
      </c>
      <c r="B11" s="17" t="inlineStr">
        <is>
          <t>Entradas!$B$24*(1+Entradas!$B$25)</t>
        </is>
      </c>
      <c r="C11" s="18">
        <f>Entradas!$B$24*(1+Entradas!$B$25)</f>
        <v/>
      </c>
    </row>
    <row r="12">
      <c r="A12" s="2" t="inlineStr">
        <is>
          <t>Piso – costo × (1 + margen)</t>
        </is>
      </c>
      <c r="B12" s="17" t="inlineStr">
        <is>
          <t>C11*(1+Entradas!$B$26)</t>
        </is>
      </c>
      <c r="C12" s="18">
        <f>C11*(1+Entradas!$B$26)</f>
        <v/>
      </c>
    </row>
    <row r="13">
      <c r="A13" s="2" t="inlineStr">
        <is>
          <t>Modificador (de Scorecard)</t>
        </is>
      </c>
      <c r="B13" s="17" t="inlineStr">
        <is>
          <t>Scorecard!D12</t>
        </is>
      </c>
      <c r="C13" s="19">
        <f>Scorecard!D12</f>
        <v/>
      </c>
    </row>
    <row r="14">
      <c r="A14" s="2" t="inlineStr">
        <is>
          <t>Ancla × (1 + Modificador)</t>
        </is>
      </c>
      <c r="B14" s="17" t="inlineStr">
        <is>
          <t>C8*(1+C13)</t>
        </is>
      </c>
      <c r="C14" s="18">
        <f>C8*(1+C13)</f>
        <v/>
      </c>
    </row>
    <row r="15">
      <c r="A15" s="2" t="inlineStr">
        <is>
          <t>PVC bruto – máx(Piso ; Mínimo de atractivo ; Ancla×(1+Mod))</t>
        </is>
      </c>
      <c r="B15" s="17" t="inlineStr">
        <is>
          <t>MAX(C12,C10,C14)</t>
        </is>
      </c>
      <c r="C15" s="18">
        <f>MAX(C12,C10,C14)</f>
        <v/>
      </c>
    </row>
    <row r="16">
      <c r="A16" s="2" t="inlineStr">
        <is>
          <t>Reajuste entre franjas – banda muerta y tope bajista</t>
        </is>
      </c>
      <c r="B16" s="17" t="inlineStr">
        <is>
          <t>IF(Entradas!$B$33=0,C15,IF(C15&gt;=Entradas!$B$33*(1-Entradas!$B$34),MAX(C15,Entradas!$B$33),MAX(C15,Entradas!$B$33*(1-Entradas!$B$35))))</t>
        </is>
      </c>
      <c r="C16" s="18">
        <f>IF(Entradas!$B$33=0,C15,IF(C15&gt;=Entradas!$B$33*(1-Entradas!$B$34),MAX(C15,Entradas!$B$33),MAX(C15,Entradas!$B$33*(1-Entradas!$B$35))))</f>
        <v/>
      </c>
    </row>
    <row r="17">
      <c r="A17" s="2" t="inlineStr">
        <is>
          <t>PVC – redondeado</t>
        </is>
      </c>
      <c r="B17" s="17" t="inlineStr">
        <is>
          <t>ROUND(C16/Entradas!$B$36,0)*Entradas!$B$36</t>
        </is>
      </c>
      <c r="C17" s="20">
        <f>ROUND(C16/Entradas!$B$36,0)*Entradas!$B$36</f>
        <v/>
      </c>
    </row>
    <row r="18">
      <c r="A18" s="2" t="inlineStr">
        <is>
          <t>Término que gobierna</t>
        </is>
      </c>
      <c r="B18" s="17" t="inlineStr">
        <is>
          <t>IF(C12&gt;=MAX(C10,C14),"piso",IF(C10&gt;=C14,"PEC","mercado"))</t>
        </is>
      </c>
      <c r="C18" s="2">
        <f>IF(C12&gt;=MAX(C10,C14),"piso",IF(C10&gt;=C14,"PEC","mercado"))</f>
        <v/>
      </c>
    </row>
    <row r="19">
      <c r="A19" s="2" t="inlineStr">
        <is>
          <t>PVC vs. PEC del día de corte (FNC + PEC-ADD)</t>
        </is>
      </c>
      <c r="B19" s="17" t="inlineStr">
        <is>
          <t>C17/(Entradas!$B$15+Entradas!$B$16)-1</t>
        </is>
      </c>
      <c r="C19" s="13">
        <f>C17/(Entradas!$B$15+Entradas!$B$16)-1</f>
        <v/>
      </c>
    </row>
    <row r="20">
      <c r="A20" s="2" t="inlineStr">
        <is>
          <t>PVC vs. PEC 30 días</t>
        </is>
      </c>
      <c r="B20" s="17" t="inlineStr">
        <is>
          <t>C17/C9-1</t>
        </is>
      </c>
      <c r="C20" s="13">
        <f>C17/C9-1</f>
        <v/>
      </c>
    </row>
    <row r="21">
      <c r="A21" s="2" t="inlineStr">
        <is>
          <t>PVC vs. FNC del día de corte</t>
        </is>
      </c>
      <c r="B21" s="17" t="inlineStr">
        <is>
          <t>C17/Entradas!$B$15-1</t>
        </is>
      </c>
      <c r="C21" s="13">
        <f>C17/Entradas!$B$15-1</f>
        <v/>
      </c>
    </row>
    <row r="22">
      <c r="A22" s="2" t="inlineStr">
        <is>
          <t>PVC vs. máximo FNC 90 días (prueba §4.5; si &lt; 0, el acta lo justifica)</t>
        </is>
      </c>
      <c r="B22" s="17" t="inlineStr">
        <is>
          <t>C17/Entradas!$B$12-1</t>
        </is>
      </c>
      <c r="C22" s="13">
        <f>C17/Entradas!$B$12-1</f>
        <v/>
      </c>
    </row>
    <row r="23">
      <c r="A23" s="2" t="inlineStr">
        <is>
          <t>PVC vs. promedio FNC 180 días (prueba §4.5)</t>
        </is>
      </c>
      <c r="B23" s="17" t="inlineStr">
        <is>
          <t>C17/Entradas!$B$14-1</t>
        </is>
      </c>
      <c r="C23" s="13">
        <f>C17/Entradas!$B$14-1</f>
        <v/>
      </c>
    </row>
    <row r="24">
      <c r="A24" s="2" t="inlineStr">
        <is>
          <t>PVC vs. costo escalado</t>
        </is>
      </c>
      <c r="B24" s="17" t="inlineStr">
        <is>
          <t>C17/C11-1</t>
        </is>
      </c>
      <c r="C24" s="13">
        <f>C17/C11-1</f>
        <v/>
      </c>
    </row>
    <row r="25">
      <c r="A25" s="2" t="inlineStr">
        <is>
          <t>Retorno bruto sobre costo económico (×)</t>
        </is>
      </c>
      <c r="B25" s="17" t="inlineStr">
        <is>
          <t>C17/C11</t>
        </is>
      </c>
      <c r="C25" s="21">
        <f>C17/C11</f>
        <v/>
      </c>
    </row>
    <row r="26">
      <c r="A26" s="2" t="inlineStr">
        <is>
          <t>Retorno bruto sobre desembolso de caja (×)</t>
        </is>
      </c>
      <c r="B26" s="17" t="inlineStr">
        <is>
          <t>C17/(Entradas!$B$27*C11)</t>
        </is>
      </c>
      <c r="C26" s="21">
        <f>C17/(Entradas!$B$27*C11)</f>
        <v/>
      </c>
    </row>
    <row r="27">
      <c r="A27" s="2" t="inlineStr">
        <is>
          <t>PVC por kilo</t>
        </is>
      </c>
      <c r="B27" s="17" t="inlineStr">
        <is>
          <t>C17/125</t>
        </is>
      </c>
      <c r="C27" s="18">
        <f>C17/125</f>
        <v/>
      </c>
    </row>
    <row r="28">
      <c r="A28" s="2" t="inlineStr">
        <is>
          <t>PVC por arroba</t>
        </is>
      </c>
      <c r="B28" s="17" t="inlineStr">
        <is>
          <t>C17/10</t>
        </is>
      </c>
      <c r="C28" s="18">
        <f>C17/10</f>
        <v/>
      </c>
    </row>
    <row r="29">
      <c r="A29" s="2" t="inlineStr">
        <is>
          <t>PVC en US$ por carga</t>
        </is>
      </c>
      <c r="B29" s="17" t="inlineStr">
        <is>
          <t>C17/Entradas!$B$20</t>
        </is>
      </c>
      <c r="C29" s="22">
        <f>C17/Entradas!$B$20</f>
        <v/>
      </c>
    </row>
    <row r="30">
      <c r="A30" s="2" t="inlineStr">
        <is>
          <t>PVC en US$/lb excelso equivalente</t>
        </is>
      </c>
      <c r="B30" s="17" t="inlineStr">
        <is>
          <t>C17/Entradas!$B$20/Entradas!$B$22</t>
        </is>
      </c>
      <c r="C30" s="21">
        <f>C17/Entradas!$B$20/Entradas!$B$22</f>
        <v/>
      </c>
    </row>
    <row r="31">
      <c r="A31" s="2" t="inlineStr">
        <is>
          <t>PVC en US$/lb pergamino</t>
        </is>
      </c>
      <c r="B31" s="17" t="inlineStr">
        <is>
          <t>C17/Entradas!$B$20/Entradas!$B$23</t>
        </is>
      </c>
      <c r="C31" s="21">
        <f>C17/Entradas!$B$20/Entradas!$B$23</f>
        <v/>
      </c>
    </row>
    <row r="32">
      <c r="A32" s="2" t="inlineStr">
        <is>
          <t>Umbral del disparador (FNC ≥ PVC en 10 de 15 publicaciones)</t>
        </is>
      </c>
      <c r="B32" s="17" t="inlineStr">
        <is>
          <t>C17</t>
        </is>
      </c>
      <c r="C32" s="18">
        <f>C17</f>
        <v/>
      </c>
    </row>
    <row r="33">
      <c r="A33" s="2" t="inlineStr">
        <is>
          <t>Cifra de salida por carga (productor y tostador)</t>
        </is>
      </c>
      <c r="B33" s="17" t="inlineStr">
        <is>
          <t>C17*Entradas!$B$42</t>
        </is>
      </c>
      <c r="C33" s="18">
        <f>C17*Entradas!$B$42</f>
        <v/>
      </c>
    </row>
    <row r="34">
      <c r="A34" s="2" t="inlineStr">
        <is>
          <t>PVC vs. máximo FNC 30 días (prueba §4.5)</t>
        </is>
      </c>
      <c r="B34" s="17" t="inlineStr">
        <is>
          <t>C17/Entradas!$B$13-1</t>
        </is>
      </c>
      <c r="C34" s="13">
        <f>C17/Entradas!$B$13-1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Escalera de calidad CTCx (D2 §8) · columnas FCA/CIP desde la hoja Pila_de_precios (D2 §13.1)</t>
        </is>
      </c>
    </row>
    <row r="3">
      <c r="A3" s="3" t="inlineStr">
        <is>
          <t>Banda</t>
        </is>
      </c>
      <c r="B3" s="3" t="inlineStr">
        <is>
          <t>Mult.</t>
        </is>
      </c>
      <c r="C3" s="3" t="inlineStr">
        <is>
          <t>COP/carga</t>
        </is>
      </c>
      <c r="D3" s="3" t="inlineStr">
        <is>
          <t>COP/kg</t>
        </is>
      </c>
      <c r="E3" s="3" t="inlineStr">
        <is>
          <t>US$/carga</t>
        </is>
      </c>
      <c r="F3" s="3" t="inlineStr">
        <is>
          <t>US$/lb excelso</t>
        </is>
      </c>
      <c r="G3" s="3" t="inlineStr">
        <is>
          <t>US$/lb perg.</t>
        </is>
      </c>
      <c r="H3" s="3" t="inlineStr">
        <is>
          <t>FCA Bogotá (≈FOB) US$/lb</t>
        </is>
      </c>
      <c r="I3" s="3" t="inlineStr">
        <is>
          <t>Referencia FOB (SCTG)</t>
        </is>
      </c>
      <c r="J3" s="3" t="inlineStr">
        <is>
          <t>Sobreprecio FCA</t>
        </is>
      </c>
      <c r="K3" s="3" t="inlineStr">
        <is>
          <t>CIP aeropuerto al MOQ (aéreo) US$/lb</t>
        </is>
      </c>
      <c r="L3" s="3" t="inlineStr">
        <is>
          <t>Sobreprecio destino</t>
        </is>
      </c>
    </row>
    <row r="4">
      <c r="A4" s="2" t="inlineStr">
        <is>
          <t>Referencia ×1,0 (&lt; 80; no se compra)</t>
        </is>
      </c>
      <c r="B4" s="23">
        <f>1</f>
        <v/>
      </c>
      <c r="C4" s="18">
        <f>Calculo!$C$17*B4</f>
        <v/>
      </c>
      <c r="D4" s="18">
        <f>C4/125</f>
        <v/>
      </c>
      <c r="E4" s="22">
        <f>C4/Entradas!$B$20</f>
        <v/>
      </c>
      <c r="F4" s="21">
        <f>C4/Entradas!$B$20/Entradas!$B$22</f>
        <v/>
      </c>
      <c r="G4" s="21">
        <f>C4/Entradas!$B$20/Entradas!$B$23</f>
        <v/>
      </c>
      <c r="H4" s="2" t="inlineStr">
        <is>
          <t>no se vende</t>
        </is>
      </c>
      <c r="I4" s="21">
        <f>Entradas!$B$46</f>
        <v/>
      </c>
      <c r="J4" s="2" t="inlineStr">
        <is>
          <t>—</t>
        </is>
      </c>
    </row>
    <row r="5">
      <c r="A5" s="2" t="inlineStr">
        <is>
          <t>Black 80,0–83,9</t>
        </is>
      </c>
      <c r="B5" s="23">
        <f>Entradas!$B$37</f>
        <v/>
      </c>
      <c r="C5" s="18">
        <f>Calculo!$C$17*B5</f>
        <v/>
      </c>
      <c r="D5" s="18">
        <f>C5/125</f>
        <v/>
      </c>
      <c r="E5" s="22">
        <f>C5/Entradas!$B$20</f>
        <v/>
      </c>
      <c r="F5" s="21">
        <f>C5/Entradas!$B$20/Entradas!$B$22</f>
        <v/>
      </c>
      <c r="G5" s="21">
        <f>C5/Entradas!$B$20/Entradas!$B$23</f>
        <v/>
      </c>
      <c r="H5" s="21">
        <f>Pila_de_precios!B65</f>
        <v/>
      </c>
      <c r="I5" s="21">
        <f>Entradas!$B$47</f>
        <v/>
      </c>
      <c r="J5" s="13">
        <f>H5/I5-1</f>
        <v/>
      </c>
      <c r="K5" s="21">
        <f>Pila_de_precios!B66</f>
        <v/>
      </c>
      <c r="L5" s="13">
        <f>K5/(I5+Entradas!$B$45)-1</f>
        <v/>
      </c>
    </row>
    <row r="6">
      <c r="A6" s="2" t="inlineStr">
        <is>
          <t>Red 84,0–85,9</t>
        </is>
      </c>
      <c r="B6" s="23">
        <f>Entradas!$B$38</f>
        <v/>
      </c>
      <c r="C6" s="18">
        <f>Calculo!$C$17*B6</f>
        <v/>
      </c>
      <c r="D6" s="18">
        <f>C6/125</f>
        <v/>
      </c>
      <c r="E6" s="22">
        <f>C6/Entradas!$B$20</f>
        <v/>
      </c>
      <c r="F6" s="21">
        <f>C6/Entradas!$B$20/Entradas!$B$22</f>
        <v/>
      </c>
      <c r="G6" s="21">
        <f>C6/Entradas!$B$20/Entradas!$B$23</f>
        <v/>
      </c>
      <c r="H6" s="21">
        <f>Pila_de_precios!C65</f>
        <v/>
      </c>
      <c r="I6" s="21">
        <f>Entradas!$B$48</f>
        <v/>
      </c>
      <c r="J6" s="13">
        <f>H6/I6-1</f>
        <v/>
      </c>
      <c r="K6" s="21">
        <f>Pila_de_precios!C66</f>
        <v/>
      </c>
      <c r="L6" s="13">
        <f>K6/(I6+Entradas!$B$45)-1</f>
        <v/>
      </c>
    </row>
    <row r="7">
      <c r="A7" s="2" t="inlineStr">
        <is>
          <t>Blue 86,0–87,9</t>
        </is>
      </c>
      <c r="B7" s="23">
        <f>Entradas!$B$39</f>
        <v/>
      </c>
      <c r="C7" s="18">
        <f>Calculo!$C$17*B7</f>
        <v/>
      </c>
      <c r="D7" s="18">
        <f>C7/125</f>
        <v/>
      </c>
      <c r="E7" s="22">
        <f>C7/Entradas!$B$20</f>
        <v/>
      </c>
      <c r="F7" s="21">
        <f>C7/Entradas!$B$20/Entradas!$B$22</f>
        <v/>
      </c>
      <c r="G7" s="21">
        <f>C7/Entradas!$B$20/Entradas!$B$23</f>
        <v/>
      </c>
      <c r="H7" s="21">
        <f>Pila_de_precios!D65</f>
        <v/>
      </c>
      <c r="I7" s="21">
        <f>Entradas!$B$49</f>
        <v/>
      </c>
      <c r="J7" s="13">
        <f>H7/I7-1</f>
        <v/>
      </c>
      <c r="K7" s="21">
        <f>Pila_de_precios!D66</f>
        <v/>
      </c>
      <c r="L7" s="13">
        <f>K7/(I7+Entradas!$B$45)-1</f>
        <v/>
      </c>
    </row>
    <row r="8">
      <c r="A8" s="2" t="inlineStr">
        <is>
          <t>Gold 88,0–88,9</t>
        </is>
      </c>
      <c r="B8" s="23">
        <f>Entradas!$B$40</f>
        <v/>
      </c>
      <c r="C8" s="18">
        <f>Calculo!$C$17*B8</f>
        <v/>
      </c>
      <c r="D8" s="18">
        <f>C8/125</f>
        <v/>
      </c>
      <c r="E8" s="22">
        <f>C8/Entradas!$B$20</f>
        <v/>
      </c>
      <c r="F8" s="21">
        <f>C8/Entradas!$B$20/Entradas!$B$22</f>
        <v/>
      </c>
      <c r="G8" s="21">
        <f>C8/Entradas!$B$20/Entradas!$B$23</f>
        <v/>
      </c>
      <c r="H8" s="21">
        <f>Pila_de_precios!E65</f>
        <v/>
      </c>
      <c r="I8" s="21">
        <f>Entradas!$B$50</f>
        <v/>
      </c>
      <c r="J8" s="13">
        <f>H8/I8-1</f>
        <v/>
      </c>
      <c r="K8" s="21">
        <f>Pila_de_precios!E66</f>
        <v/>
      </c>
      <c r="L8" s="13">
        <f>K8/(I8+Entradas!$B$45)-1</f>
        <v/>
      </c>
    </row>
    <row r="9">
      <c r="A9" s="2" t="inlineStr">
        <is>
          <t>Tyrian ≥ 89,0 (genética A/B) – subasta desde el precio Gold (Grado_y_Tyrian)</t>
        </is>
      </c>
    </row>
    <row r="11">
      <c r="A11" s="12" t="inlineStr">
        <is>
          <t>Ajuste por factor de rendimiento: PVC_FR = PVC × FNC_FR / FNC_FR94 (tabla FNC del día de recibo). Ejemplo con la tabla del 4-sep-2026:</t>
        </is>
      </c>
    </row>
    <row r="12">
      <c r="A12" s="3" t="inlineStr">
        <is>
          <t>FR</t>
        </is>
      </c>
      <c r="B12" s="3" t="inlineStr">
        <is>
          <t>FNC 4-sep-2026</t>
        </is>
      </c>
      <c r="C12" s="3" t="inlineStr">
        <is>
          <t>Coeficiente</t>
        </is>
      </c>
      <c r="D12" s="3" t="inlineStr">
        <is>
          <t>PVC ×1,0 ajustado</t>
        </is>
      </c>
      <c r="E12" s="3" t="inlineStr">
        <is>
          <t>Black</t>
        </is>
      </c>
      <c r="F12" s="3" t="inlineStr">
        <is>
          <t>Red</t>
        </is>
      </c>
      <c r="G12" s="3" t="inlineStr">
        <is>
          <t>Blue</t>
        </is>
      </c>
      <c r="H12" s="3" t="inlineStr">
        <is>
          <t>Gold</t>
        </is>
      </c>
    </row>
    <row r="13">
      <c r="A13" s="2" t="n">
        <v>88</v>
      </c>
      <c r="B13" s="5" t="n">
        <v>2155875</v>
      </c>
      <c r="C13" s="24">
        <f>B13/$B$16</f>
        <v/>
      </c>
      <c r="D13" s="18">
        <f>Calculo!$C$17*C13</f>
        <v/>
      </c>
      <c r="E13" s="18">
        <f>D13*Entradas!$B$37</f>
        <v/>
      </c>
      <c r="F13" s="18">
        <f>D13*Entradas!$B$38</f>
        <v/>
      </c>
      <c r="G13" s="18">
        <f>D13*Entradas!$B$39</f>
        <v/>
      </c>
      <c r="H13" s="18">
        <f>D13*Entradas!$B$40</f>
        <v/>
      </c>
    </row>
    <row r="14">
      <c r="A14" s="2" t="n">
        <v>90</v>
      </c>
      <c r="B14" s="5" t="n">
        <v>2136625</v>
      </c>
      <c r="C14" s="24">
        <f>B14/$B$16</f>
        <v/>
      </c>
      <c r="D14" s="18">
        <f>Calculo!$C$17*C14</f>
        <v/>
      </c>
      <c r="E14" s="18">
        <f>D14*Entradas!$B$37</f>
        <v/>
      </c>
      <c r="F14" s="18">
        <f>D14*Entradas!$B$38</f>
        <v/>
      </c>
      <c r="G14" s="18">
        <f>D14*Entradas!$B$39</f>
        <v/>
      </c>
      <c r="H14" s="18">
        <f>D14*Entradas!$B$40</f>
        <v/>
      </c>
    </row>
    <row r="15">
      <c r="A15" s="2" t="n">
        <v>92</v>
      </c>
      <c r="B15" s="5" t="n">
        <v>2106375</v>
      </c>
      <c r="C15" s="24">
        <f>B15/$B$16</f>
        <v/>
      </c>
      <c r="D15" s="18">
        <f>Calculo!$C$17*C15</f>
        <v/>
      </c>
      <c r="E15" s="18">
        <f>D15*Entradas!$B$37</f>
        <v/>
      </c>
      <c r="F15" s="18">
        <f>D15*Entradas!$B$38</f>
        <v/>
      </c>
      <c r="G15" s="18">
        <f>D15*Entradas!$B$39</f>
        <v/>
      </c>
      <c r="H15" s="18">
        <f>D15*Entradas!$B$40</f>
        <v/>
      </c>
    </row>
    <row r="16">
      <c r="A16" s="2" t="n">
        <v>94</v>
      </c>
      <c r="B16" s="5" t="n">
        <v>2080000</v>
      </c>
      <c r="C16" s="24">
        <f>B16/$B$16</f>
        <v/>
      </c>
      <c r="D16" s="18">
        <f>Calculo!$C$17*C16</f>
        <v/>
      </c>
      <c r="E16" s="18">
        <f>D16*Entradas!$B$37</f>
        <v/>
      </c>
      <c r="F16" s="18">
        <f>D16*Entradas!$B$38</f>
        <v/>
      </c>
      <c r="G16" s="18">
        <f>D16*Entradas!$B$39</f>
        <v/>
      </c>
      <c r="H16" s="18">
        <f>D16*Entradas!$B$40</f>
        <v/>
      </c>
    </row>
    <row r="17">
      <c r="A17" s="2" t="n">
        <v>96</v>
      </c>
      <c r="B17" s="5" t="n">
        <v>2052625</v>
      </c>
      <c r="C17" s="24">
        <f>B17/$B$16</f>
        <v/>
      </c>
      <c r="D17" s="18">
        <f>Calculo!$C$17*C17</f>
        <v/>
      </c>
      <c r="E17" s="18">
        <f>D17*Entradas!$B$37</f>
        <v/>
      </c>
      <c r="F17" s="18">
        <f>D17*Entradas!$B$38</f>
        <v/>
      </c>
      <c r="G17" s="18">
        <f>D17*Entradas!$B$39</f>
        <v/>
      </c>
      <c r="H17" s="18">
        <f>D17*Entradas!$B$40</f>
        <v/>
      </c>
    </row>
    <row r="18">
      <c r="A18" s="2" t="n">
        <v>98</v>
      </c>
      <c r="B18" s="5" t="n">
        <v>2029250</v>
      </c>
      <c r="C18" s="24">
        <f>B18/$B$16</f>
        <v/>
      </c>
      <c r="D18" s="18">
        <f>Calculo!$C$17*C18</f>
        <v/>
      </c>
      <c r="E18" s="18">
        <f>D18*Entradas!$B$37</f>
        <v/>
      </c>
      <c r="F18" s="18">
        <f>D18*Entradas!$B$38</f>
        <v/>
      </c>
      <c r="G18" s="18">
        <f>D18*Entradas!$B$39</f>
        <v/>
      </c>
      <c r="H18" s="18">
        <f>D18*Entradas!$B$40</f>
        <v/>
      </c>
    </row>
    <row r="19">
      <c r="A19" s="2" t="n">
        <v>100</v>
      </c>
      <c r="B19" s="5" t="n">
        <v>2006625</v>
      </c>
      <c r="C19" s="24">
        <f>B19/$B$16</f>
        <v/>
      </c>
      <c r="D19" s="18">
        <f>Calculo!$C$17*C19</f>
        <v/>
      </c>
      <c r="E19" s="18">
        <f>D19*Entradas!$B$37</f>
        <v/>
      </c>
      <c r="F19" s="18">
        <f>D19*Entradas!$B$38</f>
        <v/>
      </c>
      <c r="G19" s="18">
        <f>D19*Entradas!$B$39</f>
        <v/>
      </c>
      <c r="H19" s="18">
        <f>D19*Entradas!$B$40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70" customWidth="1" min="3" max="3"/>
  </cols>
  <sheetData>
    <row r="1">
      <c r="A1" s="1" t="inlineStr">
        <is>
          <t>Oferta comercial y contrato de franja para un lote (D2 §11)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Regla</t>
        </is>
      </c>
    </row>
    <row r="4">
      <c r="A4" s="2" t="inlineStr">
        <is>
          <t>Banda del lote (Black / Red / Blue / Gold)</t>
        </is>
      </c>
      <c r="B4" s="4" t="inlineStr">
        <is>
          <t>Black</t>
        </is>
      </c>
      <c r="C4" s="2" t="inlineStr">
        <is>
          <t>Del resultado de la muestra (Formato 1)</t>
        </is>
      </c>
    </row>
    <row r="5">
      <c r="A5" s="2" t="inlineStr">
        <is>
          <t>FR de la muestra</t>
        </is>
      </c>
      <c r="B5" s="4" t="n">
        <v>94</v>
      </c>
      <c r="C5" s="2" t="inlineStr">
        <is>
          <t>Ajuste por tabla FNC del día de cada entrega</t>
        </is>
      </c>
    </row>
    <row r="6">
      <c r="A6" s="2" t="inlineStr">
        <is>
          <t>Cargas declaradas por el productor (N)</t>
        </is>
      </c>
      <c r="B6" s="4" t="n">
        <v>5</v>
      </c>
      <c r="C6" s="2">
        <f>IF(B6&lt;IF(OR(B4="Black",B4="Red"),5,3),"POR DEBAJO DEL MÍNIMO","mínimo cumplido: "&amp;IF(OR(B4="Black",B4="Red"),5,3)&amp;" cargas")</f>
        <v/>
      </c>
    </row>
    <row r="7">
      <c r="A7" s="2" t="inlineStr">
        <is>
          <t>Máximo N ofrecido por CTCx</t>
        </is>
      </c>
      <c r="B7" s="4" t="n">
        <v>10</v>
      </c>
      <c r="C7" s="2" t="inlineStr">
        <is>
          <t>Según demanda esperada de la banda (D2 §13.2)</t>
        </is>
      </c>
    </row>
    <row r="8">
      <c r="A8" s="2" t="inlineStr">
        <is>
          <t>Franjas de antigüedad de la catación (0 = oferta inicial)</t>
        </is>
      </c>
      <c r="B8" s="4" t="n">
        <v>0</v>
      </c>
      <c r="C8" s="2" t="inlineStr">
        <is>
          <t>Reemisión automática: −5% por franja; máx. 2 en Black/Red, 1 en Blue/Gold</t>
        </is>
      </c>
    </row>
    <row r="10">
      <c r="A10" s="2" t="inlineStr">
        <is>
          <t>Multiplicador de la banda</t>
        </is>
      </c>
      <c r="B10" s="23">
        <f>IF(B4="Black",Entradas!$B$37,IF(B4="Red",Entradas!$B$38,IF(B4="Blue",Entradas!$B$39,Entradas!$B$40)))</f>
        <v/>
      </c>
    </row>
    <row r="11">
      <c r="A11" s="2" t="inlineStr">
        <is>
          <t>Coeficiente FR</t>
        </is>
      </c>
      <c r="B11" s="24">
        <f>IFERROR(VLOOKUP(B5,Escalera!$A$13:$C$19,3,FALSE),1)</f>
        <v/>
      </c>
    </row>
    <row r="12">
      <c r="A12" s="2" t="inlineStr">
        <is>
          <t>Precio del contrato por carga = PVC × coef. FR × mult. × (1 − antigüedad)</t>
        </is>
      </c>
      <c r="B12" s="20">
        <f>Calculo!$C$17*B11*B10*(1-B8*Entradas!$B$43)</f>
        <v/>
      </c>
    </row>
    <row r="13">
      <c r="A13" s="2" t="inlineStr">
        <is>
          <t>Carga 1: compra inmediata de CTCx (valor)</t>
        </is>
      </c>
      <c r="B13" s="18">
        <f>B12</f>
        <v/>
      </c>
      <c r="C13" s="2" t="inlineStr">
        <is>
          <t>Entrega, verificación y pago a 2 días hábiles (D2 §11.3)</t>
        </is>
      </c>
    </row>
    <row r="14">
      <c r="A14" s="2" t="inlineStr">
        <is>
          <t>Cantidad reservada (N − 1)</t>
        </is>
      </c>
      <c r="B14" s="22">
        <f>MIN(B6,B7)-1</f>
        <v/>
      </c>
      <c r="C14" s="2" t="inlineStr">
        <is>
          <t>Reservada al precio del contrato hasta el cierre de la franja; se llama contra ventas</t>
        </is>
      </c>
    </row>
    <row r="15">
      <c r="A15" s="2" t="inlineStr">
        <is>
          <t>Valor de la reserva al precio del contrato</t>
        </is>
      </c>
      <c r="B15" s="18">
        <f>B14*B12</f>
        <v/>
      </c>
    </row>
    <row r="16">
      <c r="A16" s="2" t="inlineStr">
        <is>
          <t>Retiro libre por corte mensual (cargas)</t>
        </is>
      </c>
      <c r="B16" s="21">
        <f>B14*Entradas!$B$41</f>
        <v/>
      </c>
      <c r="C16" s="2" t="inlineStr">
        <is>
          <t>25% de la cantidad reservada vigente, por escrito, sin costo</t>
        </is>
      </c>
    </row>
    <row r="17">
      <c r="A17" s="2" t="inlineStr">
        <is>
          <t>Cifra de salida por carga retirada por encima del retiro libre</t>
        </is>
      </c>
      <c r="B17" s="18">
        <f>Calculo!$C$17*Entradas!$B$42</f>
        <v/>
      </c>
      <c r="C17" s="2" t="inlineStr">
        <is>
          <t>7,5% del PVC × 1,0; también la paga el tostador que cancela una reserva a fórmula</t>
        </is>
      </c>
    </row>
    <row r="18">
      <c r="A18" s="2" t="inlineStr">
        <is>
          <t>Exposición firme de CTCx por este lote (carga 1)</t>
        </is>
      </c>
      <c r="B18" s="18">
        <f>B13</f>
        <v/>
      </c>
      <c r="C18" s="2" t="inlineStr">
        <is>
          <t>Única compra en firme; la reserva no es exposición (D2 §13.2)</t>
        </is>
      </c>
    </row>
    <row r="20">
      <c r="A20" s="2" t="inlineStr">
        <is>
          <t>Contribución de catación pagada por el productor (por adelantado)</t>
        </is>
      </c>
      <c r="B20" s="18">
        <f>Entradas!$B$51*(1-Entradas!$B$52)</f>
        <v/>
      </c>
      <c r="C20" s="2" t="inlineStr">
        <is>
          <t>Subsidio por defecto 30%; 50/60/70% sólo por criterios publicados (D2 §11.4)</t>
        </is>
      </c>
    </row>
    <row r="21">
      <c r="A21" s="2" t="inlineStr">
        <is>
          <t>Contribución como % del valor de la carga 1</t>
        </is>
      </c>
      <c r="B21" s="19">
        <f>B20/B13</f>
        <v/>
      </c>
    </row>
    <row r="23">
      <c r="A23" s="2" t="inlineStr">
        <is>
          <t>Lado tostador: anticipo al comprar en la plataforma</t>
        </is>
      </c>
      <c r="B23" s="13">
        <f>Entradas!$B$44</f>
        <v/>
      </c>
      <c r="C23" s="2" t="inlineStr">
        <is>
          <t>Resto a la confirmación de compra de CTCx al productor; sin cancelación</t>
        </is>
      </c>
    </row>
    <row r="24">
      <c r="A24" s="2" t="inlineStr">
        <is>
          <t>Precio CIP aeropuerto de esta banda al MOQ (US$/lb, aéreo; Pila_de_precios)</t>
        </is>
      </c>
      <c r="B24" s="21">
        <f>IF(B4="Black",Escalera!K5,IF(B4="Red",Escalera!K6,IF(B4="Blue",Escalera!K7,Escalera!K8)))</f>
        <v/>
      </c>
      <c r="C24" s="2" t="inlineStr">
        <is>
          <t>Precio en US$ a la TRM del corte, fijo en la ventana; flete y seguro como líneas separadas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60" customWidth="1" min="4" max="4"/>
  </cols>
  <sheetData>
    <row r="1">
      <c r="A1" s="1" t="inlineStr">
        <is>
          <t>Vigilancia diaria del disparador de corrección al alza (D2 §7.5)</t>
        </is>
      </c>
    </row>
    <row r="2">
      <c r="A2" s="2" t="inlineStr">
        <is>
          <t>Registre las últimas 15 publicaciones diarias del precio interno FNC FR 94. El disparador se activa si en ≥ 10 de ellas FNC ≥ PVC vigente. Magnitud: (promedio de las 15 + PEC-ADD) × (1 + p).</t>
        </is>
      </c>
    </row>
    <row r="3">
      <c r="A3" s="3" t="inlineStr">
        <is>
          <t>Día</t>
        </is>
      </c>
      <c r="B3" s="3" t="inlineStr">
        <is>
          <t>FNC FR 94</t>
        </is>
      </c>
      <c r="C3" s="3" t="inlineStr">
        <is>
          <t>¿≥ PVC?</t>
        </is>
      </c>
      <c r="D3" s="3" t="inlineStr"/>
    </row>
    <row r="4">
      <c r="A4" s="2" t="n">
        <v>1</v>
      </c>
      <c r="B4" s="5" t="n">
        <v>2080000</v>
      </c>
      <c r="C4" s="22">
        <f>IF(B4&gt;=$B$21,1,0)</f>
        <v/>
      </c>
    </row>
    <row r="5">
      <c r="A5" s="2" t="n">
        <v>2</v>
      </c>
      <c r="B5" s="5" t="n">
        <v>2080000</v>
      </c>
      <c r="C5" s="22">
        <f>IF(B5&gt;=$B$21,1,0)</f>
        <v/>
      </c>
    </row>
    <row r="6">
      <c r="A6" s="2" t="n">
        <v>3</v>
      </c>
      <c r="B6" s="5" t="n">
        <v>2080000</v>
      </c>
      <c r="C6" s="22">
        <f>IF(B6&gt;=$B$21,1,0)</f>
        <v/>
      </c>
    </row>
    <row r="7">
      <c r="A7" s="2" t="n">
        <v>4</v>
      </c>
      <c r="B7" s="5" t="n">
        <v>2080000</v>
      </c>
      <c r="C7" s="22">
        <f>IF(B7&gt;=$B$21,1,0)</f>
        <v/>
      </c>
    </row>
    <row r="8">
      <c r="A8" s="2" t="n">
        <v>5</v>
      </c>
      <c r="B8" s="5" t="n">
        <v>2080000</v>
      </c>
      <c r="C8" s="22">
        <f>IF(B8&gt;=$B$21,1,0)</f>
        <v/>
      </c>
    </row>
    <row r="9">
      <c r="A9" s="2" t="n">
        <v>6</v>
      </c>
      <c r="B9" s="5" t="n">
        <v>2080000</v>
      </c>
      <c r="C9" s="22">
        <f>IF(B9&gt;=$B$21,1,0)</f>
        <v/>
      </c>
    </row>
    <row r="10">
      <c r="A10" s="2" t="n">
        <v>7</v>
      </c>
      <c r="B10" s="5" t="n">
        <v>2080000</v>
      </c>
      <c r="C10" s="22">
        <f>IF(B10&gt;=$B$21,1,0)</f>
        <v/>
      </c>
    </row>
    <row r="11">
      <c r="A11" s="2" t="n">
        <v>8</v>
      </c>
      <c r="B11" s="5" t="n">
        <v>2080000</v>
      </c>
      <c r="C11" s="22">
        <f>IF(B11&gt;=$B$21,1,0)</f>
        <v/>
      </c>
    </row>
    <row r="12">
      <c r="A12" s="2" t="n">
        <v>9</v>
      </c>
      <c r="B12" s="5" t="n">
        <v>2080000</v>
      </c>
      <c r="C12" s="22">
        <f>IF(B12&gt;=$B$21,1,0)</f>
        <v/>
      </c>
    </row>
    <row r="13">
      <c r="A13" s="2" t="n">
        <v>10</v>
      </c>
      <c r="B13" s="5" t="n">
        <v>2080000</v>
      </c>
      <c r="C13" s="22">
        <f>IF(B13&gt;=$B$21,1,0)</f>
        <v/>
      </c>
    </row>
    <row r="14">
      <c r="A14" s="2" t="n">
        <v>11</v>
      </c>
      <c r="B14" s="5" t="n">
        <v>2080000</v>
      </c>
      <c r="C14" s="22">
        <f>IF(B14&gt;=$B$21,1,0)</f>
        <v/>
      </c>
    </row>
    <row r="15">
      <c r="A15" s="2" t="n">
        <v>12</v>
      </c>
      <c r="B15" s="5" t="n">
        <v>2080000</v>
      </c>
      <c r="C15" s="22">
        <f>IF(B15&gt;=$B$21,1,0)</f>
        <v/>
      </c>
    </row>
    <row r="16">
      <c r="A16" s="2" t="n">
        <v>13</v>
      </c>
      <c r="B16" s="5" t="n">
        <v>2080000</v>
      </c>
      <c r="C16" s="22">
        <f>IF(B16&gt;=$B$21,1,0)</f>
        <v/>
      </c>
    </row>
    <row r="17">
      <c r="A17" s="2" t="n">
        <v>14</v>
      </c>
      <c r="B17" s="5" t="n">
        <v>2080000</v>
      </c>
      <c r="C17" s="22">
        <f>IF(B17&gt;=$B$21,1,0)</f>
        <v/>
      </c>
    </row>
    <row r="18">
      <c r="A18" s="2" t="n">
        <v>15</v>
      </c>
      <c r="B18" s="5" t="n">
        <v>2080000</v>
      </c>
      <c r="C18" s="22">
        <f>IF(B18&gt;=$B$21,1,0)</f>
        <v/>
      </c>
    </row>
    <row r="20">
      <c r="A20" s="12" t="inlineStr">
        <is>
          <t>PVC vigente</t>
        </is>
      </c>
      <c r="B20" s="18">
        <f>Calculo!$C$17</f>
        <v/>
      </c>
    </row>
    <row r="21">
      <c r="A21" s="12" t="inlineStr">
        <is>
          <t>Umbral</t>
        </is>
      </c>
      <c r="B21" s="18">
        <f>B20</f>
        <v/>
      </c>
    </row>
    <row r="22">
      <c r="A22" s="2" t="inlineStr">
        <is>
          <t>Días ≥ PVC</t>
        </is>
      </c>
      <c r="B22" s="22">
        <f>SUM(C4:C18)</f>
        <v/>
      </c>
    </row>
    <row r="23">
      <c r="A23" s="2" t="inlineStr">
        <is>
          <t>¿Disparador activado?</t>
        </is>
      </c>
      <c r="B23" s="12">
        <f>IF(B22&gt;=10,"SÍ: recalcular y publicar acta; rige desde el corte de fin de mes","no")</f>
        <v/>
      </c>
    </row>
    <row r="24">
      <c r="A24" s="2" t="inlineStr">
        <is>
          <t>Promedio FNC 15 días</t>
        </is>
      </c>
      <c r="B24" s="18">
        <f>AVERAGE(B4:B18)</f>
        <v/>
      </c>
    </row>
    <row r="25">
      <c r="A25" s="2" t="inlineStr">
        <is>
          <t>PVC corregido = máx(PVC ; (promedio + PEC-ADD) × (1+p)), redondeado</t>
        </is>
      </c>
      <c r="B25" s="20">
        <f>MAX(B20,ROUND((B24+Entradas!$B$16)*(1+Entradas!$B$17)/Entradas!$B$36,0)*Entradas!$B$36)</f>
        <v/>
      </c>
    </row>
    <row r="26">
      <c r="A26" s="2" t="inlineStr">
        <is>
          <t>Semáforo semanal</t>
        </is>
      </c>
      <c r="B26" s="12">
        <f>IF(B18&gt;=B20,"ROJO",IF(B18&gt;=B20*0.92,"AMARILLO","VERDE"))</f>
        <v/>
      </c>
      <c r="D26" s="2" t="inlineStr">
        <is>
          <t>Verde: FNC ≤ PVC − 8%; amarillo: entre PVC − 8% y PVC; rojo: FNC ≥ PVC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4" max="4"/>
    <col width="26" customWidth="1" min="5" max="5"/>
    <col width="16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Calendario · franjas de venta 2027 (D2 §7.2)</t>
        </is>
      </c>
    </row>
    <row r="3">
      <c r="A3" s="3" t="inlineStr">
        <is>
          <t>Franja</t>
        </is>
      </c>
      <c r="B3" s="3" t="inlineStr">
        <is>
          <t>Corte de datos</t>
        </is>
      </c>
      <c r="C3" s="3" t="inlineStr">
        <is>
          <t>Publicación</t>
        </is>
      </c>
      <c r="D3" s="3" t="inlineStr">
        <is>
          <t>Muestras</t>
        </is>
      </c>
      <c r="E3" s="3" t="inlineStr">
        <is>
          <t>Declaración inicial y carga 1</t>
        </is>
      </c>
      <c r="F3" s="3" t="inlineStr">
        <is>
          <t>Embarque aéreo</t>
        </is>
      </c>
      <c r="G3" s="3" t="inlineStr">
        <is>
          <t>Ventana Cherry Picked</t>
        </is>
      </c>
      <c r="H3" s="3" t="inlineStr">
        <is>
          <t>Mirada atrás</t>
        </is>
      </c>
      <c r="I3" s="3" t="inlineStr">
        <is>
          <t>Proyección</t>
        </is>
      </c>
    </row>
    <row r="4">
      <c r="A4" s="2" t="inlineStr">
        <is>
          <t>F1-2027</t>
        </is>
      </c>
      <c r="B4" s="2" t="inlineStr">
        <is>
          <t>30-sep-2026</t>
        </is>
      </c>
      <c r="C4" s="2" t="inlineStr">
        <is>
          <t>15-oct-2026</t>
        </is>
      </c>
      <c r="D4" s="2" t="inlineStr">
        <is>
          <t>15-oct → 15-nov-2026</t>
        </is>
      </c>
      <c r="E4" s="2" t="inlineStr">
        <is>
          <t>15-nov → 1-dic-2026</t>
        </is>
      </c>
      <c r="F4" s="2" t="inlineStr">
        <is>
          <t>15-dic-2026</t>
        </is>
      </c>
      <c r="G4" s="2" t="inlineStr">
        <is>
          <t>15-dic-2026 → 15-mar-2027</t>
        </is>
      </c>
      <c r="H4" s="2" t="inlineStr">
        <is>
          <t>may – sep 2026</t>
        </is>
      </c>
      <c r="I4" s="2" t="inlineStr">
        <is>
          <t>dic 2026 – feb 2027</t>
        </is>
      </c>
    </row>
    <row r="5">
      <c r="A5" s="2" t="inlineStr">
        <is>
          <t>F2-2027</t>
        </is>
      </c>
      <c r="B5" s="2" t="inlineStr">
        <is>
          <t>31-dic-2026</t>
        </is>
      </c>
      <c r="C5" s="2" t="inlineStr">
        <is>
          <t>15-ene-2027</t>
        </is>
      </c>
      <c r="D5" s="2" t="inlineStr">
        <is>
          <t>15-ene → 15-feb-2027</t>
        </is>
      </c>
      <c r="E5" s="2" t="inlineStr">
        <is>
          <t>15-feb → 1-mar-2027</t>
        </is>
      </c>
      <c r="F5" s="2" t="inlineStr">
        <is>
          <t>15-mar-2027</t>
        </is>
      </c>
      <c r="G5" s="2" t="inlineStr">
        <is>
          <t>15-mar → 15-jun-2027</t>
        </is>
      </c>
      <c r="H5" s="2" t="inlineStr">
        <is>
          <t>ago – dic 2026</t>
        </is>
      </c>
      <c r="I5" s="2" t="inlineStr">
        <is>
          <t>mar – may 2027</t>
        </is>
      </c>
    </row>
    <row r="6">
      <c r="A6" s="2" t="inlineStr">
        <is>
          <t>F3-2027</t>
        </is>
      </c>
      <c r="B6" s="2" t="inlineStr">
        <is>
          <t>31-mar-2027</t>
        </is>
      </c>
      <c r="C6" s="2" t="inlineStr">
        <is>
          <t>15-abr-2027</t>
        </is>
      </c>
      <c r="D6" s="2" t="inlineStr">
        <is>
          <t>15-abr → 15-may-2027</t>
        </is>
      </c>
      <c r="E6" s="2" t="inlineStr">
        <is>
          <t>15-may → 1-jun-2027</t>
        </is>
      </c>
      <c r="F6" s="2" t="inlineStr">
        <is>
          <t>15-jun-2027</t>
        </is>
      </c>
      <c r="G6" s="2" t="inlineStr">
        <is>
          <t>15-jun → 15-sep-2027</t>
        </is>
      </c>
      <c r="H6" s="2" t="inlineStr">
        <is>
          <t>nov 2026 – mar 2027</t>
        </is>
      </c>
      <c r="I6" s="2" t="inlineStr">
        <is>
          <t>jun – ago 2027</t>
        </is>
      </c>
    </row>
    <row r="7">
      <c r="A7" s="2" t="inlineStr">
        <is>
          <t>F4-2027</t>
        </is>
      </c>
      <c r="B7" s="2" t="inlineStr">
        <is>
          <t>30-jun-2027</t>
        </is>
      </c>
      <c r="C7" s="2" t="inlineStr">
        <is>
          <t>15-jul-2027</t>
        </is>
      </c>
      <c r="D7" s="2" t="inlineStr">
        <is>
          <t>15-jul → 15-ago-2027</t>
        </is>
      </c>
      <c r="E7" s="2" t="inlineStr">
        <is>
          <t>15-ago → 1-sep-2027</t>
        </is>
      </c>
      <c r="F7" s="2" t="inlineStr">
        <is>
          <t>15-sep-2027</t>
        </is>
      </c>
      <c r="G7" s="2" t="inlineStr">
        <is>
          <t>15-sep → 15-dic-2027</t>
        </is>
      </c>
      <c r="H7" s="2" t="inlineStr">
        <is>
          <t>feb – jun 2027</t>
        </is>
      </c>
      <c r="I7" s="2" t="inlineStr">
        <is>
          <t>sep – nov 2027</t>
        </is>
      </c>
    </row>
    <row r="9">
      <c r="A9" s="2" t="inlineStr">
        <is>
          <t>Edición de transición F4-2026: publicada el 7-sep-2026 (v1.5.2) y reeditada en v2.0 el 8-sep-2026 con el mismo número; ofertas rodantes hasta el 15-oct-2026 (publicación de F1-2027); embarque con las cargas 1 de F1-2027 el 15-dic-2026.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0" customWidth="1" min="4" max="4"/>
    <col width="22" customWidth="1" min="5" max="5"/>
    <col width="26" customWidth="1" min="6" max="6"/>
    <col width="4" customWidth="1" min="7" max="7"/>
    <col width="8" customWidth="1" min="8" max="8"/>
    <col width="12" customWidth="1" min="9" max="9"/>
  </cols>
  <sheetData>
    <row r="1">
      <c r="A1" s="1" t="inlineStr">
        <is>
          <t>Serie mensual: oficial FNC (v2.1) y reconstrucción retirada (D1 §4, Anexos A y B)</t>
        </is>
      </c>
    </row>
    <row r="3">
      <c r="A3" s="3" t="inlineStr">
        <is>
          <t>Año</t>
        </is>
      </c>
      <c r="B3" s="3" t="inlineStr">
        <is>
          <t>Mes</t>
        </is>
      </c>
      <c r="C3" s="3" t="inlineStr">
        <is>
          <t>C (US¢/lb)</t>
        </is>
      </c>
      <c r="D3" s="3" t="inlineStr">
        <is>
          <t>TRM</t>
        </is>
      </c>
      <c r="E3" s="3" t="inlineStr">
        <is>
          <t>Precio reconstruido (COP/carga)</t>
        </is>
      </c>
      <c r="F3" s="3" t="inlineStr">
        <is>
          <t>Fuente</t>
        </is>
      </c>
      <c r="G3" s="3" t="inlineStr">
        <is>
          <t>Precio oficial FNC (COP/carga)</t>
        </is>
      </c>
      <c r="H3" s="3" t="inlineStr">
        <is>
          <t>Año</t>
        </is>
      </c>
      <c r="I3" s="3" t="inlineStr">
        <is>
          <t>Δ efectivo</t>
        </is>
      </c>
      <c r="J3" s="3" t="inlineStr">
        <is>
          <t>Error reconstr.</t>
        </is>
      </c>
    </row>
    <row r="4">
      <c r="A4" s="2" t="n">
        <v>2018</v>
      </c>
      <c r="B4" s="2" t="n">
        <v>5</v>
      </c>
      <c r="C4" s="25" t="n">
        <v>118</v>
      </c>
      <c r="D4" s="26" t="n">
        <v>2880</v>
      </c>
      <c r="E4" s="18">
        <f>(C4/100+VLOOKUP(A4,$H$4:$I$12,2,FALSE))*205.2*0.967*D4</f>
        <v/>
      </c>
      <c r="F4" s="2" t="inlineStr">
        <is>
          <t>reconstruido (D1 Anexo B)</t>
        </is>
      </c>
      <c r="G4" s="5" t="n">
        <v>754209.6774193548</v>
      </c>
      <c r="H4" s="2" t="n">
        <v>2018</v>
      </c>
      <c r="I4" s="7" t="n">
        <v>0.2</v>
      </c>
      <c r="J4" s="13">
        <f>E4/G4-1</f>
        <v/>
      </c>
    </row>
    <row r="5">
      <c r="A5" s="2" t="n">
        <v>2018</v>
      </c>
      <c r="B5" s="2" t="n">
        <v>6</v>
      </c>
      <c r="C5" s="25" t="n">
        <v>116</v>
      </c>
      <c r="D5" s="26" t="n">
        <v>2930</v>
      </c>
      <c r="E5" s="18">
        <f>(C5/100+VLOOKUP(A5,$H$4:$I$12,2,FALSE))*205.2*0.967*D5</f>
        <v/>
      </c>
      <c r="F5" s="2" t="inlineStr">
        <is>
          <t>reconstruido (D1 Anexo B)</t>
        </is>
      </c>
      <c r="G5" s="5" t="n">
        <v>746400</v>
      </c>
      <c r="H5" s="2" t="n">
        <v>2019</v>
      </c>
      <c r="I5" s="7" t="n">
        <v>0.2</v>
      </c>
      <c r="J5" s="13">
        <f>E5/G5-1</f>
        <v/>
      </c>
    </row>
    <row r="6">
      <c r="A6" s="2" t="n">
        <v>2018</v>
      </c>
      <c r="B6" s="2" t="n">
        <v>7</v>
      </c>
      <c r="C6" s="25" t="n">
        <v>111</v>
      </c>
      <c r="D6" s="26" t="n">
        <v>2900</v>
      </c>
      <c r="E6" s="18">
        <f>(C6/100+VLOOKUP(A6,$H$4:$I$12,2,FALSE))*205.2*0.967*D6</f>
        <v/>
      </c>
      <c r="F6" s="2" t="inlineStr">
        <is>
          <t>reconstruido (D1 Anexo B)</t>
        </is>
      </c>
      <c r="G6" s="5" t="n">
        <v>717838.7096774194</v>
      </c>
      <c r="H6" s="2" t="n">
        <v>2020</v>
      </c>
      <c r="I6" s="7" t="n">
        <v>0.3</v>
      </c>
      <c r="J6" s="13">
        <f>E6/G6-1</f>
        <v/>
      </c>
    </row>
    <row r="7">
      <c r="A7" s="2" t="n">
        <v>2018</v>
      </c>
      <c r="B7" s="2" t="n">
        <v>8</v>
      </c>
      <c r="C7" s="25" t="n">
        <v>103</v>
      </c>
      <c r="D7" s="26" t="n">
        <v>2960</v>
      </c>
      <c r="E7" s="18">
        <f>(C7/100+VLOOKUP(A7,$H$4:$I$12,2,FALSE))*205.2*0.967*D7</f>
        <v/>
      </c>
      <c r="F7" s="2" t="inlineStr">
        <is>
          <t>reconstruido (D1 Anexo B)</t>
        </is>
      </c>
      <c r="G7" s="5" t="n">
        <v>705064.5161290322</v>
      </c>
      <c r="H7" s="2" t="n">
        <v>2021</v>
      </c>
      <c r="I7" s="7" t="n">
        <v>0.35</v>
      </c>
      <c r="J7" s="13">
        <f>E7/G7-1</f>
        <v/>
      </c>
    </row>
    <row r="8">
      <c r="A8" s="2" t="n">
        <v>2018</v>
      </c>
      <c r="B8" s="2" t="n">
        <v>9</v>
      </c>
      <c r="C8" s="25" t="n">
        <v>100</v>
      </c>
      <c r="D8" s="26" t="n">
        <v>3030</v>
      </c>
      <c r="E8" s="18">
        <f>(C8/100+VLOOKUP(A8,$H$4:$I$12,2,FALSE))*205.2*0.967*D8</f>
        <v/>
      </c>
      <c r="F8" s="2" t="inlineStr">
        <is>
          <t>reconstruido (D1 Anexo B)</t>
        </is>
      </c>
      <c r="G8" s="5" t="n">
        <v>686933.3333333334</v>
      </c>
      <c r="H8" s="2" t="n">
        <v>2022</v>
      </c>
      <c r="I8" s="7" t="n">
        <v>0.3</v>
      </c>
      <c r="J8" s="13">
        <f>E8/G8-1</f>
        <v/>
      </c>
    </row>
    <row r="9">
      <c r="A9" s="2" t="n">
        <v>2018</v>
      </c>
      <c r="B9" s="2" t="n">
        <v>10</v>
      </c>
      <c r="C9" s="25" t="n">
        <v>115</v>
      </c>
      <c r="D9" s="26" t="n">
        <v>3080</v>
      </c>
      <c r="E9" s="18">
        <f>(C9/100+VLOOKUP(A9,$H$4:$I$12,2,FALSE))*205.2*0.967*D9</f>
        <v/>
      </c>
      <c r="F9" s="2" t="inlineStr">
        <is>
          <t>reconstruido (D1 Anexo B)</t>
        </is>
      </c>
      <c r="G9" s="5" t="n">
        <v>796774.1935483871</v>
      </c>
      <c r="H9" s="2" t="n">
        <v>2023</v>
      </c>
      <c r="I9" s="7" t="n">
        <v>0.25</v>
      </c>
      <c r="J9" s="13">
        <f>E9/G9-1</f>
        <v/>
      </c>
    </row>
    <row r="10">
      <c r="A10" s="2" t="n">
        <v>2018</v>
      </c>
      <c r="B10" s="2" t="n">
        <v>11</v>
      </c>
      <c r="C10" s="25" t="n">
        <v>113</v>
      </c>
      <c r="D10" s="26" t="n">
        <v>3200</v>
      </c>
      <c r="E10" s="18">
        <f>(C10/100+VLOOKUP(A10,$H$4:$I$12,2,FALSE))*205.2*0.967*D10</f>
        <v/>
      </c>
      <c r="F10" s="2" t="inlineStr">
        <is>
          <t>reconstruido (D1 Anexo B)</t>
        </is>
      </c>
      <c r="G10" s="5" t="n">
        <v>804283.3333333334</v>
      </c>
      <c r="H10" s="2" t="n">
        <v>2024</v>
      </c>
      <c r="I10" s="7" t="n">
        <v>0.15</v>
      </c>
      <c r="J10" s="13">
        <f>E10/G10-1</f>
        <v/>
      </c>
    </row>
    <row r="11">
      <c r="A11" s="2" t="n">
        <v>2018</v>
      </c>
      <c r="B11" s="2" t="n">
        <v>12</v>
      </c>
      <c r="C11" s="25" t="n">
        <v>103</v>
      </c>
      <c r="D11" s="26" t="n">
        <v>3220</v>
      </c>
      <c r="E11" s="18">
        <f>(C11/100+VLOOKUP(A11,$H$4:$I$12,2,FALSE))*205.2*0.967*D11</f>
        <v/>
      </c>
      <c r="F11" s="2" t="inlineStr">
        <is>
          <t>reconstruido (D1 Anexo B)</t>
        </is>
      </c>
      <c r="G11" s="5" t="n">
        <v>727645.1612903225</v>
      </c>
      <c r="H11" s="2" t="n">
        <v>2025</v>
      </c>
      <c r="I11" s="7" t="n">
        <v>0</v>
      </c>
      <c r="J11" s="13">
        <f>E11/G11-1</f>
        <v/>
      </c>
    </row>
    <row r="12">
      <c r="A12" s="2" t="n">
        <v>2019</v>
      </c>
      <c r="B12" s="2" t="n">
        <v>1</v>
      </c>
      <c r="C12" s="25" t="n">
        <v>104</v>
      </c>
      <c r="D12" s="26" t="n">
        <v>3160</v>
      </c>
      <c r="E12" s="18">
        <f>(C12/100+VLOOKUP(A12,$H$4:$I$12,2,FALSE))*205.2*0.967*D12</f>
        <v/>
      </c>
      <c r="F12" s="2" t="inlineStr">
        <is>
          <t>reconstruido (D1 Anexo B)</t>
        </is>
      </c>
      <c r="G12" s="5" t="n">
        <v>727274.1935483871</v>
      </c>
      <c r="H12" s="2" t="n">
        <v>2026</v>
      </c>
      <c r="I12" s="7" t="n">
        <v>0.3</v>
      </c>
      <c r="J12" s="13">
        <f>E12/G12-1</f>
        <v/>
      </c>
    </row>
    <row r="13">
      <c r="A13" s="2" t="n">
        <v>2019</v>
      </c>
      <c r="B13" s="2" t="n">
        <v>2</v>
      </c>
      <c r="C13" s="25" t="n">
        <v>102</v>
      </c>
      <c r="D13" s="26" t="n">
        <v>3120</v>
      </c>
      <c r="E13" s="18">
        <f>(C13/100+VLOOKUP(A13,$H$4:$I$12,2,FALSE))*205.2*0.967*D13</f>
        <v/>
      </c>
      <c r="F13" s="2" t="inlineStr">
        <is>
          <t>reconstruido (D1 Anexo B)</t>
        </is>
      </c>
      <c r="G13" s="5" t="n">
        <v>708089.2857142857</v>
      </c>
      <c r="J13" s="13">
        <f>E13/G13-1</f>
        <v/>
      </c>
    </row>
    <row r="14">
      <c r="A14" s="2" t="n">
        <v>2019</v>
      </c>
      <c r="B14" s="2" t="n">
        <v>3</v>
      </c>
      <c r="C14" s="25" t="n">
        <v>97</v>
      </c>
      <c r="D14" s="26" t="n">
        <v>3140</v>
      </c>
      <c r="E14" s="18">
        <f>(C14/100+VLOOKUP(A14,$H$4:$I$12,2,FALSE))*205.2*0.967*D14</f>
        <v/>
      </c>
      <c r="F14" s="2" t="inlineStr">
        <is>
          <t>reconstruido (D1 Anexo B)</t>
        </is>
      </c>
      <c r="G14" s="5" t="n">
        <v>690580.6451612903</v>
      </c>
      <c r="J14" s="13">
        <f>E14/G14-1</f>
        <v/>
      </c>
    </row>
    <row r="15">
      <c r="A15" s="2" t="n">
        <v>2019</v>
      </c>
      <c r="B15" s="2" t="n">
        <v>4</v>
      </c>
      <c r="C15" s="25" t="n">
        <v>94</v>
      </c>
      <c r="D15" s="26" t="n">
        <v>3180</v>
      </c>
      <c r="E15" s="18">
        <f>(C15/100+VLOOKUP(A15,$H$4:$I$12,2,FALSE))*205.2*0.967*D15</f>
        <v/>
      </c>
      <c r="F15" s="2" t="inlineStr">
        <is>
          <t>reconstruido (D1 Anexo B)</t>
        </is>
      </c>
      <c r="G15" s="5" t="n">
        <v>680566.6666666666</v>
      </c>
      <c r="J15" s="13">
        <f>E15/G15-1</f>
        <v/>
      </c>
    </row>
    <row r="16">
      <c r="A16" s="2" t="n">
        <v>2019</v>
      </c>
      <c r="B16" s="2" t="n">
        <v>5</v>
      </c>
      <c r="C16" s="25" t="n">
        <v>93</v>
      </c>
      <c r="D16" s="26" t="n">
        <v>3300</v>
      </c>
      <c r="E16" s="18">
        <f>(C16/100+VLOOKUP(A16,$H$4:$I$12,2,FALSE))*205.2*0.967*D16</f>
        <v/>
      </c>
      <c r="F16" s="2" t="inlineStr">
        <is>
          <t>reconstruido (D1 Anexo B)</t>
        </is>
      </c>
      <c r="G16" s="5" t="n">
        <v>724064.5161290322</v>
      </c>
      <c r="J16" s="13">
        <f>E16/G16-1</f>
        <v/>
      </c>
    </row>
    <row r="17">
      <c r="A17" s="2" t="n">
        <v>2019</v>
      </c>
      <c r="B17" s="2" t="n">
        <v>6</v>
      </c>
      <c r="C17" s="25" t="n">
        <v>101</v>
      </c>
      <c r="D17" s="26" t="n">
        <v>3250</v>
      </c>
      <c r="E17" s="18">
        <f>(C17/100+VLOOKUP(A17,$H$4:$I$12,2,FALSE))*205.2*0.967*D17</f>
        <v/>
      </c>
      <c r="F17" s="2" t="inlineStr">
        <is>
          <t>reconstruido (D1 Anexo B)</t>
        </is>
      </c>
      <c r="G17" s="5" t="n">
        <v>779916.6666666666</v>
      </c>
      <c r="J17" s="13">
        <f>E17/G17-1</f>
        <v/>
      </c>
    </row>
    <row r="18">
      <c r="A18" s="2" t="n">
        <v>2019</v>
      </c>
      <c r="B18" s="2" t="n">
        <v>7</v>
      </c>
      <c r="C18" s="25" t="n">
        <v>105</v>
      </c>
      <c r="D18" s="26" t="n">
        <v>3210</v>
      </c>
      <c r="E18" s="18">
        <f>(C18/100+VLOOKUP(A18,$H$4:$I$12,2,FALSE))*205.2*0.967*D18</f>
        <v/>
      </c>
      <c r="F18" s="2" t="inlineStr">
        <is>
          <t>reconstruido (D1 Anexo B)</t>
        </is>
      </c>
      <c r="G18" s="5" t="n">
        <v>796483.8709677419</v>
      </c>
      <c r="J18" s="13">
        <f>E18/G18-1</f>
        <v/>
      </c>
    </row>
    <row r="19">
      <c r="A19" s="2" t="n">
        <v>2019</v>
      </c>
      <c r="B19" s="2" t="n">
        <v>8</v>
      </c>
      <c r="C19" s="25" t="n">
        <v>98</v>
      </c>
      <c r="D19" s="26" t="n">
        <v>3400</v>
      </c>
      <c r="E19" s="18">
        <f>(C19/100+VLOOKUP(A19,$H$4:$I$12,2,FALSE))*205.2*0.967*D19</f>
        <v/>
      </c>
      <c r="F19" s="2" t="inlineStr">
        <is>
          <t>reconstruido (D1 Anexo B)</t>
        </is>
      </c>
      <c r="G19" s="5" t="n">
        <v>798935.4838709678</v>
      </c>
      <c r="J19" s="13">
        <f>E19/G19-1</f>
        <v/>
      </c>
    </row>
    <row r="20">
      <c r="A20" s="2" t="n">
        <v>2019</v>
      </c>
      <c r="B20" s="2" t="n">
        <v>9</v>
      </c>
      <c r="C20" s="25" t="n">
        <v>100</v>
      </c>
      <c r="D20" s="26" t="n">
        <v>3410</v>
      </c>
      <c r="E20" s="18">
        <f>(C20/100+VLOOKUP(A20,$H$4:$I$12,2,FALSE))*205.2*0.967*D20</f>
        <v/>
      </c>
      <c r="F20" s="2" t="inlineStr">
        <is>
          <t>reconstruido (D1 Anexo B)</t>
        </is>
      </c>
      <c r="G20" s="5" t="n">
        <v>815450</v>
      </c>
      <c r="J20" s="13">
        <f>E20/G20-1</f>
        <v/>
      </c>
    </row>
    <row r="21">
      <c r="A21" s="2" t="n">
        <v>2019</v>
      </c>
      <c r="B21" s="2" t="n">
        <v>10</v>
      </c>
      <c r="C21" s="25" t="n">
        <v>98</v>
      </c>
      <c r="D21" s="26" t="n">
        <v>3430</v>
      </c>
      <c r="E21" s="18">
        <f>(C21/100+VLOOKUP(A21,$H$4:$I$12,2,FALSE))*205.2*0.967*D21</f>
        <v/>
      </c>
      <c r="F21" s="2" t="inlineStr">
        <is>
          <t>reconstruido (D1 Anexo B)</t>
        </is>
      </c>
      <c r="G21" s="5" t="n">
        <v>819580.6451612903</v>
      </c>
      <c r="J21" s="13">
        <f>E21/G21-1</f>
        <v/>
      </c>
    </row>
    <row r="22">
      <c r="A22" s="2" t="n">
        <v>2019</v>
      </c>
      <c r="B22" s="2" t="n">
        <v>11</v>
      </c>
      <c r="C22" s="25" t="n">
        <v>110</v>
      </c>
      <c r="D22" s="26" t="n">
        <v>3410</v>
      </c>
      <c r="E22" s="18">
        <f>(C22/100+VLOOKUP(A22,$H$4:$I$12,2,FALSE))*205.2*0.967*D22</f>
        <v/>
      </c>
      <c r="F22" s="2" t="inlineStr">
        <is>
          <t>reconstruido (D1 Anexo B)</t>
        </is>
      </c>
      <c r="G22" s="5" t="n">
        <v>909600</v>
      </c>
      <c r="J22" s="13">
        <f>E22/G22-1</f>
        <v/>
      </c>
    </row>
    <row r="23">
      <c r="A23" s="2" t="n">
        <v>2019</v>
      </c>
      <c r="B23" s="2" t="n">
        <v>12</v>
      </c>
      <c r="C23" s="25" t="n">
        <v>127</v>
      </c>
      <c r="D23" s="26" t="n">
        <v>3380</v>
      </c>
      <c r="E23" s="18">
        <f>(C23/100+VLOOKUP(A23,$H$4:$I$12,2,FALSE))*205.2*0.967*D23</f>
        <v/>
      </c>
      <c r="F23" s="2" t="inlineStr">
        <is>
          <t>reconstruido (D1 Anexo B)</t>
        </is>
      </c>
      <c r="G23" s="5" t="n">
        <v>999129.0322580645</v>
      </c>
      <c r="J23" s="13">
        <f>E23/G23-1</f>
        <v/>
      </c>
    </row>
    <row r="24">
      <c r="A24" s="2" t="n">
        <v>2020</v>
      </c>
      <c r="B24" s="2" t="n">
        <v>1</v>
      </c>
      <c r="C24" s="25" t="n">
        <v>114</v>
      </c>
      <c r="D24" s="26" t="n">
        <v>3300</v>
      </c>
      <c r="E24" s="18">
        <f>(C24/100+VLOOKUP(A24,$H$4:$I$12,2,FALSE))*205.2*0.967*D24</f>
        <v/>
      </c>
      <c r="F24" s="2" t="inlineStr">
        <is>
          <t>reconstruido (D1 Anexo B)</t>
        </is>
      </c>
      <c r="G24" s="5" t="n">
        <v>886161.2903225806</v>
      </c>
      <c r="J24" s="13">
        <f>E24/G24-1</f>
        <v/>
      </c>
    </row>
    <row r="25">
      <c r="A25" s="2" t="n">
        <v>2020</v>
      </c>
      <c r="B25" s="2" t="n">
        <v>2</v>
      </c>
      <c r="C25" s="25" t="n">
        <v>106</v>
      </c>
      <c r="D25" s="26" t="n">
        <v>3420</v>
      </c>
      <c r="E25" s="18">
        <f>(C25/100+VLOOKUP(A25,$H$4:$I$12,2,FALSE))*205.2*0.967*D25</f>
        <v/>
      </c>
      <c r="F25" s="2" t="inlineStr">
        <is>
          <t>reconstruido (D1 Anexo B)</t>
        </is>
      </c>
      <c r="G25" s="5" t="n">
        <v>909103.448275862</v>
      </c>
      <c r="J25" s="13">
        <f>E25/G25-1</f>
        <v/>
      </c>
    </row>
    <row r="26">
      <c r="A26" s="2" t="n">
        <v>2020</v>
      </c>
      <c r="B26" s="2" t="n">
        <v>3</v>
      </c>
      <c r="C26" s="25" t="n">
        <v>115</v>
      </c>
      <c r="D26" s="26" t="n">
        <v>3900</v>
      </c>
      <c r="E26" s="18">
        <f>(C26/100+VLOOKUP(A26,$H$4:$I$12,2,FALSE))*205.2*0.967*D26</f>
        <v/>
      </c>
      <c r="F26" s="2" t="inlineStr">
        <is>
          <t>reconstruido (D1 Anexo B)</t>
        </is>
      </c>
      <c r="G26" s="5" t="n">
        <v>1143193.548387097</v>
      </c>
      <c r="J26" s="13">
        <f>E26/G26-1</f>
        <v/>
      </c>
    </row>
    <row r="27">
      <c r="A27" s="2" t="n">
        <v>2020</v>
      </c>
      <c r="B27" s="2" t="n">
        <v>4</v>
      </c>
      <c r="C27" s="25" t="n">
        <v>115</v>
      </c>
      <c r="D27" s="26" t="n">
        <v>3950</v>
      </c>
      <c r="E27" s="18">
        <f>(C27/100+VLOOKUP(A27,$H$4:$I$12,2,FALSE))*205.2*0.967*D27</f>
        <v/>
      </c>
      <c r="F27" s="2" t="inlineStr">
        <is>
          <t>reconstruido (D1 Anexo B)</t>
        </is>
      </c>
      <c r="G27" s="5" t="n">
        <v>1175566.666666667</v>
      </c>
      <c r="J27" s="13">
        <f>E27/G27-1</f>
        <v/>
      </c>
    </row>
    <row r="28">
      <c r="A28" s="2" t="n">
        <v>2020</v>
      </c>
      <c r="B28" s="2" t="n">
        <v>5</v>
      </c>
      <c r="C28" s="25" t="n">
        <v>108</v>
      </c>
      <c r="D28" s="26" t="n">
        <v>3800</v>
      </c>
      <c r="E28" s="18">
        <f>(C28/100+VLOOKUP(A28,$H$4:$I$12,2,FALSE))*205.2*0.967*D28</f>
        <v/>
      </c>
      <c r="F28" s="2" t="inlineStr">
        <is>
          <t>reconstruido (D1 Anexo B)</t>
        </is>
      </c>
      <c r="G28" s="5" t="n">
        <v>1068870.967741936</v>
      </c>
      <c r="J28" s="13">
        <f>E28/G28-1</f>
        <v/>
      </c>
    </row>
    <row r="29">
      <c r="A29" s="2" t="n">
        <v>2020</v>
      </c>
      <c r="B29" s="2" t="n">
        <v>6</v>
      </c>
      <c r="C29" s="25" t="n">
        <v>99</v>
      </c>
      <c r="D29" s="26" t="n">
        <v>3700</v>
      </c>
      <c r="E29" s="18">
        <f>(C29/100+VLOOKUP(A29,$H$4:$I$12,2,FALSE))*205.2*0.967*D29</f>
        <v/>
      </c>
      <c r="F29" s="2" t="inlineStr">
        <is>
          <t>reconstruido (D1 Anexo B)</t>
        </is>
      </c>
      <c r="G29" s="5" t="n">
        <v>962800</v>
      </c>
      <c r="J29" s="13">
        <f>E29/G29-1</f>
        <v/>
      </c>
    </row>
    <row r="30">
      <c r="A30" s="2" t="n">
        <v>2020</v>
      </c>
      <c r="B30" s="2" t="n">
        <v>7</v>
      </c>
      <c r="C30" s="25" t="n">
        <v>103</v>
      </c>
      <c r="D30" s="26" t="n">
        <v>3650</v>
      </c>
      <c r="E30" s="18">
        <f>(C30/100+VLOOKUP(A30,$H$4:$I$12,2,FALSE))*205.2*0.967*D30</f>
        <v/>
      </c>
      <c r="F30" s="2" t="inlineStr">
        <is>
          <t>reconstruido (D1 Anexo B)</t>
        </is>
      </c>
      <c r="G30" s="5" t="n">
        <v>1001451.612903226</v>
      </c>
      <c r="J30" s="13">
        <f>E30/G30-1</f>
        <v/>
      </c>
    </row>
    <row r="31">
      <c r="A31" s="2" t="n">
        <v>2020</v>
      </c>
      <c r="B31" s="2" t="n">
        <v>8</v>
      </c>
      <c r="C31" s="25" t="n">
        <v>118</v>
      </c>
      <c r="D31" s="26" t="n">
        <v>3760</v>
      </c>
      <c r="E31" s="18">
        <f>(C31/100+VLOOKUP(A31,$H$4:$I$12,2,FALSE))*205.2*0.967*D31</f>
        <v/>
      </c>
      <c r="F31" s="2" t="inlineStr">
        <is>
          <t>reconstruido (D1 Anexo B)</t>
        </is>
      </c>
      <c r="G31" s="5" t="n">
        <v>1143967.741935484</v>
      </c>
      <c r="J31" s="13">
        <f>E31/G31-1</f>
        <v/>
      </c>
    </row>
    <row r="32">
      <c r="A32" s="2" t="n">
        <v>2020</v>
      </c>
      <c r="B32" s="2" t="n">
        <v>9</v>
      </c>
      <c r="C32" s="25" t="n">
        <v>120</v>
      </c>
      <c r="D32" s="26" t="n">
        <v>3780</v>
      </c>
      <c r="E32" s="18">
        <f>(C32/100+VLOOKUP(A32,$H$4:$I$12,2,FALSE))*205.2*0.967*D32</f>
        <v/>
      </c>
      <c r="F32" s="2" t="inlineStr">
        <is>
          <t>reconstruido (D1 Anexo B)</t>
        </is>
      </c>
      <c r="G32" s="5" t="n">
        <v>1142233.333333333</v>
      </c>
      <c r="J32" s="13">
        <f>E32/G32-1</f>
        <v/>
      </c>
    </row>
    <row r="33">
      <c r="A33" s="2" t="n">
        <v>2020</v>
      </c>
      <c r="B33" s="2" t="n">
        <v>10</v>
      </c>
      <c r="C33" s="25" t="n">
        <v>108</v>
      </c>
      <c r="D33" s="26" t="n">
        <v>3830</v>
      </c>
      <c r="E33" s="18">
        <f>(C33/100+VLOOKUP(A33,$H$4:$I$12,2,FALSE))*205.2*0.967*D33</f>
        <v/>
      </c>
      <c r="F33" s="2" t="inlineStr">
        <is>
          <t>reconstruido (D1 Anexo B)</t>
        </is>
      </c>
      <c r="G33" s="5" t="n">
        <v>1052483.870967742</v>
      </c>
      <c r="J33" s="13">
        <f>E33/G33-1</f>
        <v/>
      </c>
    </row>
    <row r="34">
      <c r="A34" s="2" t="n">
        <v>2020</v>
      </c>
      <c r="B34" s="2" t="n">
        <v>11</v>
      </c>
      <c r="C34" s="25" t="n">
        <v>110</v>
      </c>
      <c r="D34" s="26" t="n">
        <v>3650</v>
      </c>
      <c r="E34" s="18">
        <f>(C34/100+VLOOKUP(A34,$H$4:$I$12,2,FALSE))*205.2*0.967*D34</f>
        <v/>
      </c>
      <c r="F34" s="2" t="inlineStr">
        <is>
          <t>reconstruido (D1 Anexo B)</t>
        </is>
      </c>
      <c r="G34" s="5" t="n">
        <v>1044700</v>
      </c>
      <c r="J34" s="13">
        <f>E34/G34-1</f>
        <v/>
      </c>
    </row>
    <row r="35">
      <c r="A35" s="2" t="n">
        <v>2020</v>
      </c>
      <c r="B35" s="2" t="n">
        <v>12</v>
      </c>
      <c r="C35" s="25" t="n">
        <v>122</v>
      </c>
      <c r="D35" s="26" t="n">
        <v>3470</v>
      </c>
      <c r="E35" s="18">
        <f>(C35/100+VLOOKUP(A35,$H$4:$I$12,2,FALSE))*205.2*0.967*D35</f>
        <v/>
      </c>
      <c r="F35" s="2" t="inlineStr">
        <is>
          <t>reconstruido (D1 Anexo B)</t>
        </is>
      </c>
      <c r="G35" s="5" t="n">
        <v>1047677.419354839</v>
      </c>
      <c r="J35" s="13">
        <f>E35/G35-1</f>
        <v/>
      </c>
    </row>
    <row r="36">
      <c r="A36" s="2" t="n">
        <v>2021</v>
      </c>
      <c r="B36" s="2" t="n">
        <v>1</v>
      </c>
      <c r="C36" s="25" t="n">
        <v>126</v>
      </c>
      <c r="D36" s="26" t="n">
        <v>3480</v>
      </c>
      <c r="E36" s="18">
        <f>(C36/100+VLOOKUP(A36,$H$4:$I$12,2,FALSE))*205.2*0.967*D36</f>
        <v/>
      </c>
      <c r="F36" s="2" t="inlineStr">
        <is>
          <t>reconstruido (D1 Anexo B)</t>
        </is>
      </c>
      <c r="G36" s="5" t="n">
        <v>1073193.548387097</v>
      </c>
      <c r="J36" s="13">
        <f>E36/G36-1</f>
        <v/>
      </c>
    </row>
    <row r="37">
      <c r="A37" s="2" t="n">
        <v>2021</v>
      </c>
      <c r="B37" s="2" t="n">
        <v>2</v>
      </c>
      <c r="C37" s="25" t="n">
        <v>130</v>
      </c>
      <c r="D37" s="26" t="n">
        <v>3560</v>
      </c>
      <c r="E37" s="18">
        <f>(C37/100+VLOOKUP(A37,$H$4:$I$12,2,FALSE))*205.2*0.967*D37</f>
        <v/>
      </c>
      <c r="F37" s="2" t="inlineStr">
        <is>
          <t>reconstruido (D1 Anexo B)</t>
        </is>
      </c>
      <c r="G37" s="5" t="n">
        <v>1113535.714285714</v>
      </c>
      <c r="J37" s="13">
        <f>E37/G37-1</f>
        <v/>
      </c>
    </row>
    <row r="38">
      <c r="A38" s="2" t="n">
        <v>2021</v>
      </c>
      <c r="B38" s="2" t="n">
        <v>3</v>
      </c>
      <c r="C38" s="25" t="n">
        <v>131</v>
      </c>
      <c r="D38" s="26" t="n">
        <v>3600</v>
      </c>
      <c r="E38" s="18">
        <f>(C38/100+VLOOKUP(A38,$H$4:$I$12,2,FALSE))*205.2*0.967*D38</f>
        <v/>
      </c>
      <c r="F38" s="2" t="inlineStr">
        <is>
          <t>reconstruido (D1 Anexo B)</t>
        </is>
      </c>
      <c r="G38" s="5" t="n">
        <v>1156032.258064516</v>
      </c>
      <c r="J38" s="13">
        <f>E38/G38-1</f>
        <v/>
      </c>
    </row>
    <row r="39">
      <c r="A39" s="2" t="n">
        <v>2021</v>
      </c>
      <c r="B39" s="2" t="n">
        <v>4</v>
      </c>
      <c r="C39" s="25" t="n">
        <v>132</v>
      </c>
      <c r="D39" s="26" t="n">
        <v>3650</v>
      </c>
      <c r="E39" s="18">
        <f>(C39/100+VLOOKUP(A39,$H$4:$I$12,2,FALSE))*205.2*0.967*D39</f>
        <v/>
      </c>
      <c r="F39" s="2" t="inlineStr">
        <is>
          <t>reconstruido (D1 Anexo B)</t>
        </is>
      </c>
      <c r="G39" s="5" t="n">
        <v>1207433.333333333</v>
      </c>
      <c r="J39" s="13">
        <f>E39/G39-1</f>
        <v/>
      </c>
    </row>
    <row r="40">
      <c r="A40" s="2" t="n">
        <v>2021</v>
      </c>
      <c r="B40" s="2" t="n">
        <v>5</v>
      </c>
      <c r="C40" s="25" t="n">
        <v>150</v>
      </c>
      <c r="D40" s="26" t="n">
        <v>3720</v>
      </c>
      <c r="E40" s="18">
        <f>(C40/100+VLOOKUP(A40,$H$4:$I$12,2,FALSE))*205.2*0.967*D40</f>
        <v/>
      </c>
      <c r="F40" s="2" t="inlineStr">
        <is>
          <t>reconstruido (D1 Anexo B)</t>
        </is>
      </c>
      <c r="G40" s="5" t="n">
        <v>1385935.483870968</v>
      </c>
      <c r="J40" s="13">
        <f>E40/G40-1</f>
        <v/>
      </c>
    </row>
    <row r="41">
      <c r="A41" s="2" t="n">
        <v>2021</v>
      </c>
      <c r="B41" s="2" t="n">
        <v>6</v>
      </c>
      <c r="C41" s="25" t="n">
        <v>156</v>
      </c>
      <c r="D41" s="26" t="n">
        <v>3700</v>
      </c>
      <c r="E41" s="18">
        <f>(C41/100+VLOOKUP(A41,$H$4:$I$12,2,FALSE))*205.2*0.967*D41</f>
        <v/>
      </c>
      <c r="F41" s="2" t="inlineStr">
        <is>
          <t>reconstruido (D1 Anexo B)</t>
        </is>
      </c>
      <c r="G41" s="5" t="n">
        <v>1420800</v>
      </c>
      <c r="J41" s="13">
        <f>E41/G41-1</f>
        <v/>
      </c>
    </row>
    <row r="42">
      <c r="A42" s="2" t="n">
        <v>2021</v>
      </c>
      <c r="B42" s="2" t="n">
        <v>7</v>
      </c>
      <c r="C42" s="25" t="n">
        <v>165</v>
      </c>
      <c r="D42" s="26" t="n">
        <v>3850</v>
      </c>
      <c r="E42" s="18">
        <f>(C42/100+VLOOKUP(A42,$H$4:$I$12,2,FALSE))*205.2*0.967*D42</f>
        <v/>
      </c>
      <c r="F42" s="2" t="inlineStr">
        <is>
          <t>reconstruido (D1 Anexo B)</t>
        </is>
      </c>
      <c r="G42" s="5" t="n">
        <v>1562741.935483871</v>
      </c>
      <c r="J42" s="13">
        <f>E42/G42-1</f>
        <v/>
      </c>
    </row>
    <row r="43">
      <c r="A43" s="2" t="n">
        <v>2021</v>
      </c>
      <c r="B43" s="2" t="n">
        <v>8</v>
      </c>
      <c r="C43" s="25" t="n">
        <v>183</v>
      </c>
      <c r="D43" s="26" t="n">
        <v>3880</v>
      </c>
      <c r="E43" s="18">
        <f>(C43/100+VLOOKUP(A43,$H$4:$I$12,2,FALSE))*205.2*0.967*D43</f>
        <v/>
      </c>
      <c r="F43" s="2" t="inlineStr">
        <is>
          <t>reconstruido (D1 Anexo B)</t>
        </is>
      </c>
      <c r="G43" s="5" t="n">
        <v>1704806.451612903</v>
      </c>
      <c r="J43" s="13">
        <f>E43/G43-1</f>
        <v/>
      </c>
    </row>
    <row r="44">
      <c r="A44" s="2" t="n">
        <v>2021</v>
      </c>
      <c r="B44" s="2" t="n">
        <v>9</v>
      </c>
      <c r="C44" s="25" t="n">
        <v>190</v>
      </c>
      <c r="D44" s="26" t="n">
        <v>3830</v>
      </c>
      <c r="E44" s="18">
        <f>(C44/100+VLOOKUP(A44,$H$4:$I$12,2,FALSE))*205.2*0.967*D44</f>
        <v/>
      </c>
      <c r="F44" s="2" t="inlineStr">
        <is>
          <t>reconstruido (D1 Anexo B)</t>
        </is>
      </c>
      <c r="G44" s="5" t="n">
        <v>1712138</v>
      </c>
      <c r="J44" s="13">
        <f>E44/G44-1</f>
        <v/>
      </c>
    </row>
    <row r="45">
      <c r="A45" s="2" t="n">
        <v>2021</v>
      </c>
      <c r="B45" s="2" t="n">
        <v>10</v>
      </c>
      <c r="C45" s="25" t="n">
        <v>205</v>
      </c>
      <c r="D45" s="26" t="n">
        <v>3760</v>
      </c>
      <c r="E45" s="18">
        <f>(C45/100+VLOOKUP(A45,$H$4:$I$12,2,FALSE))*205.2*0.967*D45</f>
        <v/>
      </c>
      <c r="F45" s="2" t="inlineStr">
        <is>
          <t>reconstruido (D1 Anexo B)</t>
        </is>
      </c>
      <c r="G45" s="5" t="n">
        <v>1784935.483870968</v>
      </c>
      <c r="J45" s="13">
        <f>E45/G45-1</f>
        <v/>
      </c>
    </row>
    <row r="46">
      <c r="A46" s="2" t="n">
        <v>2021</v>
      </c>
      <c r="B46" s="2" t="n">
        <v>11</v>
      </c>
      <c r="C46" s="25" t="n">
        <v>226</v>
      </c>
      <c r="D46" s="26" t="n">
        <v>3900</v>
      </c>
      <c r="E46" s="18">
        <f>(C46/100+VLOOKUP(A46,$H$4:$I$12,2,FALSE))*205.2*0.967*D46</f>
        <v/>
      </c>
      <c r="F46" s="2" t="inlineStr">
        <is>
          <t>reconstruido (D1 Anexo B)</t>
        </is>
      </c>
      <c r="G46" s="5" t="n">
        <v>1999655.172413793</v>
      </c>
      <c r="J46" s="13">
        <f>E46/G46-1</f>
        <v/>
      </c>
    </row>
    <row r="47">
      <c r="A47" s="2" t="n">
        <v>2021</v>
      </c>
      <c r="B47" s="2" t="n">
        <v>12</v>
      </c>
      <c r="C47" s="25" t="n">
        <v>236</v>
      </c>
      <c r="D47" s="26" t="n">
        <v>3980</v>
      </c>
      <c r="E47" s="18">
        <f>(C47/100+VLOOKUP(A47,$H$4:$I$12,2,FALSE))*205.2*0.967*D47</f>
        <v/>
      </c>
      <c r="F47" s="2" t="inlineStr">
        <is>
          <t>reconstruido (D1 Anexo B)</t>
        </is>
      </c>
      <c r="G47" s="5" t="n">
        <v>2116483.870967742</v>
      </c>
      <c r="J47" s="13">
        <f>E47/G47-1</f>
        <v/>
      </c>
    </row>
    <row r="48">
      <c r="A48" s="2" t="n">
        <v>2022</v>
      </c>
      <c r="B48" s="2" t="n">
        <v>1</v>
      </c>
      <c r="C48" s="25" t="n">
        <v>238</v>
      </c>
      <c r="D48" s="26" t="n">
        <v>3990</v>
      </c>
      <c r="E48" s="18">
        <f>(C48/100+VLOOKUP(A48,$H$4:$I$12,2,FALSE))*205.2*0.967*D48</f>
        <v/>
      </c>
      <c r="F48" s="2" t="inlineStr">
        <is>
          <t>reconstruido (D1 Anexo B)</t>
        </is>
      </c>
      <c r="G48" s="5" t="n">
        <v>2148333.333333333</v>
      </c>
      <c r="J48" s="13">
        <f>E48/G48-1</f>
        <v/>
      </c>
    </row>
    <row r="49">
      <c r="A49" s="2" t="n">
        <v>2022</v>
      </c>
      <c r="B49" s="2" t="n">
        <v>2</v>
      </c>
      <c r="C49" s="25" t="n">
        <v>249</v>
      </c>
      <c r="D49" s="26" t="n">
        <v>3930</v>
      </c>
      <c r="E49" s="18">
        <f>(C49/100+VLOOKUP(A49,$H$4:$I$12,2,FALSE))*205.2*0.967*D49</f>
        <v/>
      </c>
      <c r="F49" s="2" t="inlineStr">
        <is>
          <t>reconstruido (D1 Anexo B)</t>
        </is>
      </c>
      <c r="G49" s="5" t="n">
        <v>2213333.333333333</v>
      </c>
      <c r="J49" s="13">
        <f>E49/G49-1</f>
        <v/>
      </c>
    </row>
    <row r="50">
      <c r="A50" s="2" t="n">
        <v>2022</v>
      </c>
      <c r="B50" s="2" t="n">
        <v>3</v>
      </c>
      <c r="C50" s="25" t="n">
        <v>223</v>
      </c>
      <c r="D50" s="26" t="n">
        <v>3800</v>
      </c>
      <c r="E50" s="18">
        <f>(C50/100+VLOOKUP(A50,$H$4:$I$12,2,FALSE))*205.2*0.967*D50</f>
        <v/>
      </c>
      <c r="F50" s="2" t="inlineStr">
        <is>
          <t>reconstruido (D1 Anexo B)</t>
        </is>
      </c>
      <c r="G50" s="5" t="n">
        <v>1988774.193548387</v>
      </c>
      <c r="J50" s="13">
        <f>E50/G50-1</f>
        <v/>
      </c>
    </row>
    <row r="51">
      <c r="A51" s="2" t="n">
        <v>2022</v>
      </c>
      <c r="B51" s="2" t="n">
        <v>4</v>
      </c>
      <c r="C51" s="25" t="n">
        <v>226</v>
      </c>
      <c r="D51" s="26" t="n">
        <v>3800</v>
      </c>
      <c r="E51" s="18">
        <f>(C51/100+VLOOKUP(A51,$H$4:$I$12,2,FALSE))*205.2*0.967*D51</f>
        <v/>
      </c>
      <c r="F51" s="2" t="inlineStr">
        <is>
          <t>reconstruido (D1 Anexo B)</t>
        </is>
      </c>
      <c r="G51" s="5" t="n">
        <v>2027448.275862069</v>
      </c>
      <c r="J51" s="13">
        <f>E51/G51-1</f>
        <v/>
      </c>
    </row>
    <row r="52">
      <c r="A52" s="2" t="n">
        <v>2022</v>
      </c>
      <c r="B52" s="2" t="n">
        <v>5</v>
      </c>
      <c r="C52" s="25" t="n">
        <v>220</v>
      </c>
      <c r="D52" s="26" t="n">
        <v>4000</v>
      </c>
      <c r="E52" s="18">
        <f>(C52/100+VLOOKUP(A52,$H$4:$I$12,2,FALSE))*205.2*0.967*D52</f>
        <v/>
      </c>
      <c r="F52" s="2" t="inlineStr">
        <is>
          <t>reconstruido (D1 Anexo B)</t>
        </is>
      </c>
      <c r="G52" s="5" t="n">
        <v>2096733.33333333</v>
      </c>
      <c r="J52" s="13">
        <f>E52/G52-1</f>
        <v/>
      </c>
    </row>
    <row r="53">
      <c r="A53" s="2" t="n">
        <v>2022</v>
      </c>
      <c r="B53" s="2" t="n">
        <v>6</v>
      </c>
      <c r="C53" s="25" t="n">
        <v>230</v>
      </c>
      <c r="D53" s="26" t="n">
        <v>3950</v>
      </c>
      <c r="E53" s="18">
        <f>(C53/100+VLOOKUP(A53,$H$4:$I$12,2,FALSE))*205.2*0.967*D53</f>
        <v/>
      </c>
      <c r="F53" s="2" t="inlineStr">
        <is>
          <t>reconstruido (D1 Anexo B)</t>
        </is>
      </c>
      <c r="G53" s="5" t="n">
        <v>2172233.333333333</v>
      </c>
      <c r="J53" s="13">
        <f>E53/G53-1</f>
        <v/>
      </c>
    </row>
    <row r="54">
      <c r="A54" s="2" t="n">
        <v>2022</v>
      </c>
      <c r="B54" s="2" t="n">
        <v>7</v>
      </c>
      <c r="C54" s="25" t="n">
        <v>215</v>
      </c>
      <c r="D54" s="26" t="n">
        <v>4400</v>
      </c>
      <c r="E54" s="18">
        <f>(C54/100+VLOOKUP(A54,$H$4:$I$12,2,FALSE))*205.2*0.967*D54</f>
        <v/>
      </c>
      <c r="F54" s="2" t="inlineStr">
        <is>
          <t>reconstruido (D1 Anexo B)</t>
        </is>
      </c>
      <c r="G54" s="5" t="n">
        <v>2250290.322580645</v>
      </c>
      <c r="J54" s="13">
        <f>E54/G54-1</f>
        <v/>
      </c>
    </row>
    <row r="55">
      <c r="A55" s="2" t="n">
        <v>2022</v>
      </c>
      <c r="B55" s="2" t="n">
        <v>8</v>
      </c>
      <c r="C55" s="25" t="n">
        <v>222</v>
      </c>
      <c r="D55" s="26" t="n">
        <v>4300</v>
      </c>
      <c r="E55" s="18">
        <f>(C55/100+VLOOKUP(A55,$H$4:$I$12,2,FALSE))*205.2*0.967*D55</f>
        <v/>
      </c>
      <c r="F55" s="2" t="inlineStr">
        <is>
          <t>reconstruido (D1 Anexo B)</t>
        </is>
      </c>
      <c r="G55" s="5" t="n">
        <v>2315548</v>
      </c>
      <c r="J55" s="13">
        <f>E55/G55-1</f>
        <v/>
      </c>
    </row>
    <row r="56">
      <c r="A56" s="2" t="n">
        <v>2022</v>
      </c>
      <c r="B56" s="2" t="n">
        <v>9</v>
      </c>
      <c r="C56" s="25" t="n">
        <v>224</v>
      </c>
      <c r="D56" s="26" t="n">
        <v>4450</v>
      </c>
      <c r="E56" s="18">
        <f>(C56/100+VLOOKUP(A56,$H$4:$I$12,2,FALSE))*205.2*0.967*D56</f>
        <v/>
      </c>
      <c r="F56" s="2" t="inlineStr">
        <is>
          <t>reconstruido (D1 Anexo B)</t>
        </is>
      </c>
      <c r="G56" s="5" t="n">
        <v>2398966.666666667</v>
      </c>
      <c r="J56" s="13">
        <f>E56/G56-1</f>
        <v/>
      </c>
    </row>
    <row r="57">
      <c r="A57" s="2" t="n">
        <v>2022</v>
      </c>
      <c r="B57" s="2" t="n">
        <v>10</v>
      </c>
      <c r="C57" s="25" t="n">
        <v>198</v>
      </c>
      <c r="D57" s="26" t="n">
        <v>4700</v>
      </c>
      <c r="E57" s="18">
        <f>(C57/100+VLOOKUP(A57,$H$4:$I$12,2,FALSE))*205.2*0.967*D57</f>
        <v/>
      </c>
      <c r="F57" s="2" t="inlineStr">
        <is>
          <t>reconstruido (D1 Anexo B)</t>
        </is>
      </c>
      <c r="G57" s="5" t="n">
        <v>2277290</v>
      </c>
      <c r="J57" s="13">
        <f>E57/G57-1</f>
        <v/>
      </c>
    </row>
    <row r="58">
      <c r="A58" s="2" t="n">
        <v>2022</v>
      </c>
      <c r="B58" s="2" t="n">
        <v>11</v>
      </c>
      <c r="C58" s="25" t="n">
        <v>165</v>
      </c>
      <c r="D58" s="26" t="n">
        <v>4900</v>
      </c>
      <c r="E58" s="18">
        <f>(C58/100+VLOOKUP(A58,$H$4:$I$12,2,FALSE))*205.2*0.967*D58</f>
        <v/>
      </c>
      <c r="F58" s="2" t="inlineStr">
        <is>
          <t>reconstruido (D1 Anexo B)</t>
        </is>
      </c>
      <c r="G58" s="5" t="n">
        <v>1990067</v>
      </c>
      <c r="J58" s="13">
        <f>E58/G58-1</f>
        <v/>
      </c>
    </row>
    <row r="59">
      <c r="A59" s="2" t="n">
        <v>2022</v>
      </c>
      <c r="B59" s="2" t="n">
        <v>12</v>
      </c>
      <c r="C59" s="25" t="n">
        <v>165</v>
      </c>
      <c r="D59" s="26" t="n">
        <v>4800</v>
      </c>
      <c r="E59" s="18">
        <f>(C59/100+VLOOKUP(A59,$H$4:$I$12,2,FALSE))*205.2*0.967*D59</f>
        <v/>
      </c>
      <c r="F59" s="2" t="inlineStr">
        <is>
          <t>reconstruido (D1 Anexo B)</t>
        </is>
      </c>
      <c r="G59" s="5" t="n">
        <v>1933032</v>
      </c>
      <c r="J59" s="13">
        <f>E59/G59-1</f>
        <v/>
      </c>
    </row>
    <row r="60">
      <c r="A60" s="2" t="n">
        <v>2023</v>
      </c>
      <c r="B60" s="2" t="n">
        <v>1</v>
      </c>
      <c r="C60" s="25" t="n">
        <v>158</v>
      </c>
      <c r="D60" s="26" t="n">
        <v>4700</v>
      </c>
      <c r="E60" s="18">
        <f>(C60/100+VLOOKUP(A60,$H$4:$I$12,2,FALSE))*205.2*0.967*D60</f>
        <v/>
      </c>
      <c r="F60" s="2" t="inlineStr">
        <is>
          <t>reconstruido (D1 Anexo B)</t>
        </is>
      </c>
      <c r="G60" s="5" t="n">
        <v>1838032</v>
      </c>
      <c r="J60" s="13">
        <f>E60/G60-1</f>
        <v/>
      </c>
    </row>
    <row r="61">
      <c r="A61" s="2" t="n">
        <v>2023</v>
      </c>
      <c r="B61" s="2" t="n">
        <v>2</v>
      </c>
      <c r="C61" s="25" t="n">
        <v>183</v>
      </c>
      <c r="D61" s="26" t="n">
        <v>4800</v>
      </c>
      <c r="E61" s="18">
        <f>(C61/100+VLOOKUP(A61,$H$4:$I$12,2,FALSE))*205.2*0.967*D61</f>
        <v/>
      </c>
      <c r="F61" s="2" t="inlineStr">
        <is>
          <t>reconstruido (D1 Anexo B)</t>
        </is>
      </c>
      <c r="G61" s="5" t="n">
        <v>2075285.714285714</v>
      </c>
      <c r="J61" s="13">
        <f>E61/G61-1</f>
        <v/>
      </c>
    </row>
    <row r="62">
      <c r="A62" s="2" t="n">
        <v>2023</v>
      </c>
      <c r="B62" s="2" t="n">
        <v>3</v>
      </c>
      <c r="C62" s="25" t="n">
        <v>178</v>
      </c>
      <c r="D62" s="26" t="n">
        <v>4750</v>
      </c>
      <c r="E62" s="18">
        <f>(C62/100+VLOOKUP(A62,$H$4:$I$12,2,FALSE))*205.2*0.967*D62</f>
        <v/>
      </c>
      <c r="F62" s="2" t="inlineStr">
        <is>
          <t>reconstruido (D1 Anexo B)</t>
        </is>
      </c>
      <c r="G62" s="5" t="n">
        <v>1993129.032258064</v>
      </c>
      <c r="J62" s="13">
        <f>E62/G62-1</f>
        <v/>
      </c>
    </row>
    <row r="63">
      <c r="A63" s="2" t="n">
        <v>2023</v>
      </c>
      <c r="B63" s="2" t="n">
        <v>4</v>
      </c>
      <c r="C63" s="25" t="n">
        <v>187</v>
      </c>
      <c r="D63" s="26" t="n">
        <v>4500</v>
      </c>
      <c r="E63" s="18">
        <f>(C63/100+VLOOKUP(A63,$H$4:$I$12,2,FALSE))*205.2*0.967*D63</f>
        <v/>
      </c>
      <c r="F63" s="2" t="inlineStr">
        <is>
          <t>reconstruido (D1 Anexo B)</t>
        </is>
      </c>
      <c r="G63" s="5" t="n">
        <v>1978900</v>
      </c>
      <c r="J63" s="13">
        <f>E63/G63-1</f>
        <v/>
      </c>
    </row>
    <row r="64">
      <c r="A64" s="2" t="n">
        <v>2023</v>
      </c>
      <c r="B64" s="2" t="n">
        <v>5</v>
      </c>
      <c r="C64" s="25" t="n">
        <v>185</v>
      </c>
      <c r="D64" s="26" t="n">
        <v>4500</v>
      </c>
      <c r="E64" s="18">
        <f>(C64/100+VLOOKUP(A64,$H$4:$I$12,2,FALSE))*205.2*0.967*D64</f>
        <v/>
      </c>
      <c r="F64" s="2" t="inlineStr">
        <is>
          <t>reconstruido (D1 Anexo B)</t>
        </is>
      </c>
      <c r="G64" s="5" t="n">
        <v>1895967.741935484</v>
      </c>
      <c r="J64" s="13">
        <f>E64/G64-1</f>
        <v/>
      </c>
    </row>
    <row r="65">
      <c r="A65" s="2" t="n">
        <v>2023</v>
      </c>
      <c r="B65" s="2" t="n">
        <v>6</v>
      </c>
      <c r="C65" s="25" t="n">
        <v>179</v>
      </c>
      <c r="D65" s="26" t="n">
        <v>4200</v>
      </c>
      <c r="E65" s="18">
        <f>(C65/100+VLOOKUP(A65,$H$4:$I$12,2,FALSE))*205.2*0.967*D65</f>
        <v/>
      </c>
      <c r="F65" s="2" t="inlineStr">
        <is>
          <t>reconstruido (D1 Anexo B)</t>
        </is>
      </c>
      <c r="G65" s="5" t="n">
        <v>1577900</v>
      </c>
      <c r="J65" s="13">
        <f>E65/G65-1</f>
        <v/>
      </c>
    </row>
    <row r="66">
      <c r="A66" s="2" t="n">
        <v>2023</v>
      </c>
      <c r="B66" s="2" t="n">
        <v>7</v>
      </c>
      <c r="C66" s="25" t="n">
        <v>161</v>
      </c>
      <c r="D66" s="26" t="n">
        <v>4050</v>
      </c>
      <c r="E66" s="18">
        <f>(C66/100+VLOOKUP(A66,$H$4:$I$12,2,FALSE))*205.2*0.967*D66</f>
        <v/>
      </c>
      <c r="F66" s="2" t="inlineStr">
        <is>
          <t>reconstruido (D1 Anexo B)</t>
        </is>
      </c>
      <c r="G66" s="5" t="n">
        <v>1318774.193548387</v>
      </c>
      <c r="J66" s="13">
        <f>E66/G66-1</f>
        <v/>
      </c>
    </row>
    <row r="67">
      <c r="A67" s="2" t="n">
        <v>2023</v>
      </c>
      <c r="B67" s="2" t="n">
        <v>8</v>
      </c>
      <c r="C67" s="25" t="n">
        <v>153</v>
      </c>
      <c r="D67" s="26" t="n">
        <v>4050</v>
      </c>
      <c r="E67" s="18">
        <f>(C67/100+VLOOKUP(A67,$H$4:$I$12,2,FALSE))*205.2*0.967*D67</f>
        <v/>
      </c>
      <c r="F67" s="2" t="inlineStr">
        <is>
          <t>reconstruido (D1 Anexo B)</t>
        </is>
      </c>
      <c r="G67" s="5" t="n">
        <v>1319096.774193548</v>
      </c>
      <c r="J67" s="13">
        <f>E67/G67-1</f>
        <v/>
      </c>
    </row>
    <row r="68">
      <c r="A68" s="2" t="n">
        <v>2023</v>
      </c>
      <c r="B68" s="2" t="n">
        <v>9</v>
      </c>
      <c r="C68" s="25" t="n">
        <v>153</v>
      </c>
      <c r="D68" s="26" t="n">
        <v>4000</v>
      </c>
      <c r="E68" s="18">
        <f>(C68/100+VLOOKUP(A68,$H$4:$I$12,2,FALSE))*205.2*0.967*D68</f>
        <v/>
      </c>
      <c r="F68" s="2" t="inlineStr">
        <is>
          <t>reconstruido (D1 Anexo B)</t>
        </is>
      </c>
      <c r="G68" s="5" t="n">
        <v>1285967</v>
      </c>
      <c r="J68" s="13">
        <f>E68/G68-1</f>
        <v/>
      </c>
    </row>
    <row r="69">
      <c r="A69" s="2" t="n">
        <v>2023</v>
      </c>
      <c r="B69" s="2" t="n">
        <v>10</v>
      </c>
      <c r="C69" s="25" t="n">
        <v>156</v>
      </c>
      <c r="D69" s="26" t="n">
        <v>4200</v>
      </c>
      <c r="E69" s="18">
        <f>(C69/100+VLOOKUP(A69,$H$4:$I$12,2,FALSE))*205.2*0.967*D69</f>
        <v/>
      </c>
      <c r="F69" s="2" t="inlineStr">
        <is>
          <t>reconstruido (D1 Anexo B)</t>
        </is>
      </c>
      <c r="G69" s="5" t="n">
        <v>1379065</v>
      </c>
      <c r="J69" s="13">
        <f>E69/G69-1</f>
        <v/>
      </c>
    </row>
    <row r="70">
      <c r="A70" s="2" t="n">
        <v>2023</v>
      </c>
      <c r="B70" s="2" t="n">
        <v>11</v>
      </c>
      <c r="C70" s="25" t="n">
        <v>168</v>
      </c>
      <c r="D70" s="26" t="n">
        <v>4050</v>
      </c>
      <c r="E70" s="18">
        <f>(C70/100+VLOOKUP(A70,$H$4:$I$12,2,FALSE))*205.2*0.967*D70</f>
        <v/>
      </c>
      <c r="F70" s="2" t="inlineStr">
        <is>
          <t>reconstruido (D1 Anexo B)</t>
        </is>
      </c>
      <c r="G70" s="5" t="n">
        <v>1406448.275862069</v>
      </c>
      <c r="J70" s="13">
        <f>E70/G70-1</f>
        <v/>
      </c>
    </row>
    <row r="71">
      <c r="A71" s="2" t="n">
        <v>2023</v>
      </c>
      <c r="B71" s="2" t="n">
        <v>12</v>
      </c>
      <c r="C71" s="25" t="n">
        <v>187</v>
      </c>
      <c r="D71" s="26" t="n">
        <v>3950</v>
      </c>
      <c r="E71" s="18">
        <f>(C71/100+VLOOKUP(A71,$H$4:$I$12,2,FALSE))*205.2*0.967*D71</f>
        <v/>
      </c>
      <c r="F71" s="2" t="inlineStr">
        <is>
          <t>reconstruido (D1 Anexo B)</t>
        </is>
      </c>
      <c r="G71" s="5" t="n">
        <v>1468258.064516129</v>
      </c>
      <c r="J71" s="13">
        <f>E71/G71-1</f>
        <v/>
      </c>
    </row>
    <row r="72">
      <c r="A72" s="2" t="n">
        <v>2024</v>
      </c>
      <c r="B72" s="2" t="n">
        <v>1</v>
      </c>
      <c r="C72" s="25" t="n">
        <v>185</v>
      </c>
      <c r="D72" s="26" t="n">
        <v>3920</v>
      </c>
      <c r="E72" s="18">
        <f>(C72/100+VLOOKUP(A72,$H$4:$I$12,2,FALSE))*205.2*0.967*D72</f>
        <v/>
      </c>
      <c r="F72" s="2" t="inlineStr">
        <is>
          <t>reconstruido (D1 Anexo B)</t>
        </is>
      </c>
      <c r="G72" s="5" t="n">
        <v>1423000</v>
      </c>
      <c r="J72" s="13">
        <f>E72/G72-1</f>
        <v/>
      </c>
    </row>
    <row r="73">
      <c r="A73" s="2" t="n">
        <v>2024</v>
      </c>
      <c r="B73" s="2" t="n">
        <v>2</v>
      </c>
      <c r="C73" s="25" t="n">
        <v>188</v>
      </c>
      <c r="D73" s="26" t="n">
        <v>3930</v>
      </c>
      <c r="E73" s="18">
        <f>(C73/100+VLOOKUP(A73,$H$4:$I$12,2,FALSE))*205.2*0.967*D73</f>
        <v/>
      </c>
      <c r="F73" s="2" t="inlineStr">
        <is>
          <t>reconstruido (D1 Anexo B)</t>
        </is>
      </c>
      <c r="G73" s="5" t="n">
        <v>1456862</v>
      </c>
      <c r="J73" s="13">
        <f>E73/G73-1</f>
        <v/>
      </c>
    </row>
    <row r="74">
      <c r="A74" s="2" t="n">
        <v>2024</v>
      </c>
      <c r="B74" s="2" t="n">
        <v>3</v>
      </c>
      <c r="C74" s="25" t="n">
        <v>186</v>
      </c>
      <c r="D74" s="26" t="n">
        <v>3900</v>
      </c>
      <c r="E74" s="18">
        <f>(C74/100+VLOOKUP(A74,$H$4:$I$12,2,FALSE))*205.2*0.967*D74</f>
        <v/>
      </c>
      <c r="F74" s="2" t="inlineStr">
        <is>
          <t>reconstruido (D1 Anexo B)</t>
        </is>
      </c>
      <c r="G74" s="5" t="n">
        <v>1440129.032258064</v>
      </c>
      <c r="J74" s="13">
        <f>E74/G74-1</f>
        <v/>
      </c>
    </row>
    <row r="75">
      <c r="A75" s="2" t="n">
        <v>2024</v>
      </c>
      <c r="B75" s="2" t="n">
        <v>4</v>
      </c>
      <c r="C75" s="25" t="n">
        <v>217</v>
      </c>
      <c r="D75" s="26" t="n">
        <v>3870</v>
      </c>
      <c r="E75" s="18">
        <f>(C75/100+VLOOKUP(A75,$H$4:$I$12,2,FALSE))*205.2*0.967*D75</f>
        <v/>
      </c>
      <c r="F75" s="2" t="inlineStr">
        <is>
          <t>reconstruido (D1 Anexo B)</t>
        </is>
      </c>
      <c r="G75" s="5" t="n">
        <v>1661933.333333333</v>
      </c>
      <c r="J75" s="13">
        <f>E75/G75-1</f>
        <v/>
      </c>
    </row>
    <row r="76">
      <c r="A76" s="2" t="n">
        <v>2024</v>
      </c>
      <c r="B76" s="2" t="n">
        <v>5</v>
      </c>
      <c r="C76" s="25" t="n">
        <v>208</v>
      </c>
      <c r="D76" s="26" t="n">
        <v>3850</v>
      </c>
      <c r="E76" s="18">
        <f>(C76/100+VLOOKUP(A76,$H$4:$I$12,2,FALSE))*205.2*0.967*D76</f>
        <v/>
      </c>
      <c r="F76" s="2" t="inlineStr">
        <is>
          <t>reconstruido (D1 Anexo B)</t>
        </is>
      </c>
      <c r="G76" s="5" t="n">
        <v>1596129.032258064</v>
      </c>
      <c r="J76" s="13">
        <f>E76/G76-1</f>
        <v/>
      </c>
    </row>
    <row r="77">
      <c r="A77" s="2" t="n">
        <v>2024</v>
      </c>
      <c r="B77" s="2" t="n">
        <v>6</v>
      </c>
      <c r="C77" s="25" t="n">
        <v>226</v>
      </c>
      <c r="D77" s="26" t="n">
        <v>4050</v>
      </c>
      <c r="E77" s="18">
        <f>(C77/100+VLOOKUP(A77,$H$4:$I$12,2,FALSE))*205.2*0.967*D77</f>
        <v/>
      </c>
      <c r="F77" s="2" t="inlineStr">
        <is>
          <t>reconstruido (D1 Anexo B)</t>
        </is>
      </c>
      <c r="G77" s="5" t="n">
        <v>1817033.333333333</v>
      </c>
      <c r="J77" s="13">
        <f>E77/G77-1</f>
        <v/>
      </c>
    </row>
    <row r="78">
      <c r="A78" s="2" t="n">
        <v>2024</v>
      </c>
      <c r="B78" s="2" t="n">
        <v>7</v>
      </c>
      <c r="C78" s="25" t="n">
        <v>240</v>
      </c>
      <c r="D78" s="26" t="n">
        <v>4030</v>
      </c>
      <c r="E78" s="18">
        <f>(C78/100+VLOOKUP(A78,$H$4:$I$12,2,FALSE))*205.2*0.967*D78</f>
        <v/>
      </c>
      <c r="F78" s="2" t="inlineStr">
        <is>
          <t>reconstruido (D1 Anexo B)</t>
        </is>
      </c>
      <c r="G78" s="5" t="n">
        <v>1876387</v>
      </c>
      <c r="J78" s="13">
        <f>E78/G78-1</f>
        <v/>
      </c>
    </row>
    <row r="79">
      <c r="A79" s="2" t="n">
        <v>2024</v>
      </c>
      <c r="B79" s="2" t="n">
        <v>8</v>
      </c>
      <c r="C79" s="25" t="n">
        <v>245</v>
      </c>
      <c r="D79" s="26" t="n">
        <v>4050</v>
      </c>
      <c r="E79" s="18">
        <f>(C79/100+VLOOKUP(A79,$H$4:$I$12,2,FALSE))*205.2*0.967*D79</f>
        <v/>
      </c>
      <c r="F79" s="2" t="inlineStr">
        <is>
          <t>reconstruido (D1 Anexo B)</t>
        </is>
      </c>
      <c r="G79" s="5" t="n">
        <v>1943323</v>
      </c>
      <c r="J79" s="13">
        <f>E79/G79-1</f>
        <v/>
      </c>
    </row>
    <row r="80">
      <c r="A80" s="2" t="n">
        <v>2024</v>
      </c>
      <c r="B80" s="2" t="n">
        <v>9</v>
      </c>
      <c r="C80" s="25" t="n">
        <v>255</v>
      </c>
      <c r="D80" s="26" t="n">
        <v>4180</v>
      </c>
      <c r="E80" s="18">
        <f>(C80/100+VLOOKUP(A80,$H$4:$I$12,2,FALSE))*205.2*0.967*D80</f>
        <v/>
      </c>
      <c r="F80" s="2" t="inlineStr">
        <is>
          <t>reconstruido (D1 Anexo B)</t>
        </is>
      </c>
      <c r="G80" s="5" t="n">
        <v>2120233.333333333</v>
      </c>
      <c r="J80" s="13">
        <f>E80/G80-1</f>
        <v/>
      </c>
    </row>
    <row r="81">
      <c r="A81" s="2" t="n">
        <v>2024</v>
      </c>
      <c r="B81" s="2" t="n">
        <v>10</v>
      </c>
      <c r="C81" s="25" t="n">
        <v>254</v>
      </c>
      <c r="D81" s="26" t="n">
        <v>4250</v>
      </c>
      <c r="E81" s="18">
        <f>(C81/100+VLOOKUP(A81,$H$4:$I$12,2,FALSE))*205.2*0.967*D81</f>
        <v/>
      </c>
      <c r="F81" s="2" t="inlineStr">
        <is>
          <t>reconstruido (D1 Anexo B)</t>
        </is>
      </c>
      <c r="G81" s="5" t="n">
        <v>2173290</v>
      </c>
      <c r="J81" s="13">
        <f>E81/G81-1</f>
        <v/>
      </c>
    </row>
    <row r="82">
      <c r="A82" s="2" t="n">
        <v>2024</v>
      </c>
      <c r="B82" s="2" t="n">
        <v>11</v>
      </c>
      <c r="C82" s="25" t="n">
        <v>275</v>
      </c>
      <c r="D82" s="26" t="n">
        <v>4400</v>
      </c>
      <c r="E82" s="18">
        <f>(C82/100+VLOOKUP(A82,$H$4:$I$12,2,FALSE))*205.2*0.967*D82</f>
        <v/>
      </c>
      <c r="F82" s="2" t="inlineStr">
        <is>
          <t>reconstruido (D1 Anexo B)</t>
        </is>
      </c>
      <c r="G82" s="5" t="n">
        <v>2456566.666666667</v>
      </c>
      <c r="J82" s="13">
        <f>E82/G82-1</f>
        <v/>
      </c>
    </row>
    <row r="83">
      <c r="A83" s="2" t="n">
        <v>2024</v>
      </c>
      <c r="B83" s="2" t="n">
        <v>12</v>
      </c>
      <c r="C83" s="25" t="n">
        <v>320</v>
      </c>
      <c r="D83" s="26" t="n">
        <v>4380</v>
      </c>
      <c r="E83" s="18">
        <f>(C83/100+VLOOKUP(A83,$H$4:$I$12,2,FALSE))*205.2*0.967*D83</f>
        <v/>
      </c>
      <c r="F83" s="2" t="inlineStr">
        <is>
          <t>reconstruido (D1 Anexo B)</t>
        </is>
      </c>
      <c r="G83" s="5" t="n">
        <v>2764870.967741936</v>
      </c>
      <c r="J83" s="13">
        <f>E83/G83-1</f>
        <v/>
      </c>
    </row>
    <row r="84">
      <c r="A84" s="2" t="n">
        <v>2025</v>
      </c>
      <c r="B84" s="2" t="n">
        <v>1</v>
      </c>
      <c r="C84" s="25" t="n">
        <v>340</v>
      </c>
      <c r="D84" s="26" t="n">
        <v>4300</v>
      </c>
      <c r="E84" s="18">
        <f>(C84/100+VLOOKUP(A84,$H$4:$I$12,2,FALSE))*205.2*0.967*D84</f>
        <v/>
      </c>
      <c r="F84" s="2" t="inlineStr">
        <is>
          <t>reconstruido (D1 Anexo B)</t>
        </is>
      </c>
      <c r="G84" s="5" t="n">
        <v>2751258.06451613</v>
      </c>
      <c r="J84" s="13">
        <f>E84/G84-1</f>
        <v/>
      </c>
    </row>
    <row r="85">
      <c r="A85" s="2" t="n">
        <v>2025</v>
      </c>
      <c r="B85" s="2" t="n">
        <v>2</v>
      </c>
      <c r="C85" s="25" t="n">
        <v>400</v>
      </c>
      <c r="D85" s="26" t="n">
        <v>4150</v>
      </c>
      <c r="E85" s="18">
        <f>(C85/100+VLOOKUP(A85,$H$4:$I$12,2,FALSE))*205.2*0.967*D85</f>
        <v/>
      </c>
      <c r="F85" s="2" t="inlineStr">
        <is>
          <t>reconstruido (D1 Anexo B)</t>
        </is>
      </c>
      <c r="G85" s="5" t="n">
        <v>3118571.428571429</v>
      </c>
      <c r="J85" s="13">
        <f>E85/G85-1</f>
        <v/>
      </c>
    </row>
    <row r="86">
      <c r="A86" s="2" t="n">
        <v>2025</v>
      </c>
      <c r="B86" s="2" t="n">
        <v>3</v>
      </c>
      <c r="C86" s="25" t="n">
        <v>385</v>
      </c>
      <c r="D86" s="26" t="n">
        <v>4150</v>
      </c>
      <c r="E86" s="18">
        <f>(C86/100+VLOOKUP(A86,$H$4:$I$12,2,FALSE))*205.2*0.967*D86</f>
        <v/>
      </c>
      <c r="F86" s="2" t="inlineStr">
        <is>
          <t>reconstruido (D1 Anexo B)</t>
        </is>
      </c>
      <c r="G86" s="5" t="n">
        <v>3054451.612903226</v>
      </c>
      <c r="J86" s="13">
        <f>E86/G86-1</f>
        <v/>
      </c>
    </row>
    <row r="87">
      <c r="A87" s="2" t="n">
        <v>2025</v>
      </c>
      <c r="B87" s="2" t="n">
        <v>4</v>
      </c>
      <c r="C87" s="25" t="n">
        <v>380</v>
      </c>
      <c r="D87" s="26" t="n">
        <v>4250</v>
      </c>
      <c r="E87" s="18">
        <f>(C87/100+VLOOKUP(A87,$H$4:$I$12,2,FALSE))*205.2*0.967*D87</f>
        <v/>
      </c>
      <c r="F87" s="2" t="inlineStr">
        <is>
          <t>reconstruido (D1 Anexo B)</t>
        </is>
      </c>
      <c r="G87" s="5" t="n">
        <v>3044433.333333333</v>
      </c>
      <c r="J87" s="13">
        <f>E87/G87-1</f>
        <v/>
      </c>
    </row>
    <row r="88">
      <c r="A88" s="2" t="n">
        <v>2025</v>
      </c>
      <c r="B88" s="2" t="n">
        <v>5</v>
      </c>
      <c r="C88" s="25" t="n">
        <v>385</v>
      </c>
      <c r="D88" s="26" t="n">
        <v>4200</v>
      </c>
      <c r="E88" s="18">
        <f>(C88/100+VLOOKUP(A88,$H$4:$I$12,2,FALSE))*205.2*0.967*D88</f>
        <v/>
      </c>
      <c r="F88" s="2" t="inlineStr">
        <is>
          <t>reconstruido (D1 Anexo B)</t>
        </is>
      </c>
      <c r="G88" s="5" t="n">
        <v>3012759</v>
      </c>
      <c r="J88" s="13">
        <f>E88/G88-1</f>
        <v/>
      </c>
    </row>
    <row r="89">
      <c r="A89" s="2" t="n">
        <v>2025</v>
      </c>
      <c r="B89" s="2" t="n">
        <v>6</v>
      </c>
      <c r="C89" s="25" t="n">
        <v>350</v>
      </c>
      <c r="D89" s="26" t="n">
        <v>4100</v>
      </c>
      <c r="E89" s="18">
        <f>(C89/100+VLOOKUP(A89,$H$4:$I$12,2,FALSE))*205.2*0.967*D89</f>
        <v/>
      </c>
      <c r="F89" s="2" t="inlineStr">
        <is>
          <t>reconstruido (D1 Anexo B)</t>
        </is>
      </c>
      <c r="G89" s="5" t="n">
        <v>2700567</v>
      </c>
      <c r="J89" s="13">
        <f>E89/G89-1</f>
        <v/>
      </c>
    </row>
    <row r="90">
      <c r="A90" s="2" t="n">
        <v>2025</v>
      </c>
      <c r="B90" s="2" t="n">
        <v>7</v>
      </c>
      <c r="C90" s="25" t="n">
        <v>300</v>
      </c>
      <c r="D90" s="26" t="n">
        <v>4050</v>
      </c>
      <c r="E90" s="18">
        <f>(C90/100+VLOOKUP(A90,$H$4:$I$12,2,FALSE))*205.2*0.967*D90</f>
        <v/>
      </c>
      <c r="F90" s="2" t="inlineStr">
        <is>
          <t>reconstruido (D1 Anexo B)</t>
        </is>
      </c>
      <c r="G90" s="5" t="n">
        <v>2369903.225806451</v>
      </c>
      <c r="J90" s="13">
        <f>E90/G90-1</f>
        <v/>
      </c>
    </row>
    <row r="91">
      <c r="A91" s="2" t="n">
        <v>2025</v>
      </c>
      <c r="B91" s="2" t="n">
        <v>8</v>
      </c>
      <c r="C91" s="25" t="n">
        <v>355</v>
      </c>
      <c r="D91" s="26" t="n">
        <v>4050</v>
      </c>
      <c r="E91" s="18">
        <f>(C91/100+VLOOKUP(A91,$H$4:$I$12,2,FALSE))*205.2*0.967*D91</f>
        <v/>
      </c>
      <c r="F91" s="2" t="inlineStr">
        <is>
          <t>reconstruido (D1 Anexo B)</t>
        </is>
      </c>
      <c r="G91" s="5" t="n">
        <v>2758032.258064516</v>
      </c>
      <c r="J91" s="13">
        <f>E91/G91-1</f>
        <v/>
      </c>
    </row>
    <row r="92">
      <c r="A92" s="2" t="n">
        <v>2025</v>
      </c>
      <c r="B92" s="2" t="n">
        <v>9</v>
      </c>
      <c r="C92" s="25" t="n">
        <v>385</v>
      </c>
      <c r="D92" s="26" t="n">
        <v>3950</v>
      </c>
      <c r="E92" s="18">
        <f>(C92/100+VLOOKUP(A92,$H$4:$I$12,2,FALSE))*205.2*0.967*D92</f>
        <v/>
      </c>
      <c r="F92" s="2" t="inlineStr">
        <is>
          <t>reconstruido (D1 Anexo B)</t>
        </is>
      </c>
      <c r="G92" s="5" t="n">
        <v>2966133.333333333</v>
      </c>
      <c r="J92" s="13">
        <f>E92/G92-1</f>
        <v/>
      </c>
    </row>
    <row r="93">
      <c r="A93" s="2" t="n">
        <v>2025</v>
      </c>
      <c r="B93" s="2" t="n">
        <v>10</v>
      </c>
      <c r="C93" s="25" t="n">
        <v>395</v>
      </c>
      <c r="D93" s="26" t="n">
        <v>3880</v>
      </c>
      <c r="E93" s="18">
        <f>(C93/100+VLOOKUP(A93,$H$4:$I$12,2,FALSE))*205.2*0.967*D93</f>
        <v/>
      </c>
      <c r="F93" s="2" t="inlineStr">
        <is>
          <t>reconstruido (D1 Anexo B)</t>
        </is>
      </c>
      <c r="G93" s="5" t="n">
        <v>2954935.483870968</v>
      </c>
      <c r="J93" s="13">
        <f>E93/G93-1</f>
        <v/>
      </c>
    </row>
    <row r="94">
      <c r="A94" s="2" t="n">
        <v>2025</v>
      </c>
      <c r="B94" s="2" t="n">
        <v>11</v>
      </c>
      <c r="C94" s="25" t="n">
        <v>400</v>
      </c>
      <c r="D94" s="26" t="n">
        <v>3800</v>
      </c>
      <c r="E94" s="18">
        <f>(C94/100+VLOOKUP(A94,$H$4:$I$12,2,FALSE))*205.2*0.967*D94</f>
        <v/>
      </c>
      <c r="F94" s="2" t="inlineStr">
        <is>
          <t>reconstruido (D1 Anexo B)</t>
        </is>
      </c>
      <c r="G94" s="5" t="n">
        <v>2889633.33333333</v>
      </c>
      <c r="J94" s="13">
        <f>E94/G94-1</f>
        <v/>
      </c>
    </row>
    <row r="95">
      <c r="A95" s="2" t="n">
        <v>2025</v>
      </c>
      <c r="B95" s="2" t="n">
        <v>12</v>
      </c>
      <c r="C95" s="25" t="n">
        <v>345</v>
      </c>
      <c r="D95" s="26" t="n">
        <v>3750</v>
      </c>
      <c r="E95" s="18">
        <f>(C95/100+VLOOKUP(A95,$H$4:$I$12,2,FALSE))*205.2*0.967*D95</f>
        <v/>
      </c>
      <c r="F95" s="2" t="inlineStr">
        <is>
          <t>reconstruido (D1 Anexo B)</t>
        </is>
      </c>
      <c r="G95" s="5" t="n">
        <v>2745225.806451613</v>
      </c>
      <c r="J95" s="13">
        <f>E95/G95-1</f>
        <v/>
      </c>
    </row>
    <row r="96">
      <c r="A96" s="2" t="n">
        <v>2026</v>
      </c>
      <c r="B96" s="2" t="n">
        <v>1</v>
      </c>
      <c r="C96" s="25" t="n">
        <v>310</v>
      </c>
      <c r="D96" s="26" t="n">
        <v>3700</v>
      </c>
      <c r="E96" s="18">
        <f>(C96/100+VLOOKUP(A96,$H$4:$I$12,2,FALSE))*205.2*0.967*D96</f>
        <v/>
      </c>
      <c r="F96" s="2" t="inlineStr">
        <is>
          <t>reconstruido (D1 Anexo B)</t>
        </is>
      </c>
      <c r="G96" s="5" t="n">
        <v>2627903.225806451</v>
      </c>
      <c r="J96" s="13">
        <f>E96/G96-1</f>
        <v/>
      </c>
    </row>
    <row r="97">
      <c r="A97" s="2" t="n">
        <v>2026</v>
      </c>
      <c r="B97" s="2" t="n">
        <v>2</v>
      </c>
      <c r="C97" s="25" t="n">
        <v>290</v>
      </c>
      <c r="D97" s="26" t="n">
        <v>3650</v>
      </c>
      <c r="E97" s="18">
        <f>(C97/100+VLOOKUP(A97,$H$4:$I$12,2,FALSE))*205.2*0.967*D97</f>
        <v/>
      </c>
      <c r="F97" s="2" t="inlineStr">
        <is>
          <t>reconstruido (D1 Anexo B)</t>
        </is>
      </c>
      <c r="G97" s="5" t="n">
        <v>2174143</v>
      </c>
      <c r="J97" s="13">
        <f>E97/G97-1</f>
        <v/>
      </c>
    </row>
    <row r="98">
      <c r="A98" s="2" t="n">
        <v>2026</v>
      </c>
      <c r="B98" s="2" t="n">
        <v>3</v>
      </c>
      <c r="C98" s="25" t="n">
        <v>290.2</v>
      </c>
      <c r="D98" s="26" t="n">
        <v>3600</v>
      </c>
      <c r="E98" s="18">
        <f>(C98/100+VLOOKUP(A98,$H$4:$I$12,2,FALSE))*205.2*0.967*D98</f>
        <v/>
      </c>
      <c r="F98" s="2" t="inlineStr">
        <is>
          <t>reconstruido (D1 Anexo B)</t>
        </is>
      </c>
      <c r="G98" s="5" t="n">
        <v>2227129.032258064</v>
      </c>
      <c r="J98" s="13">
        <f>E98/G98-1</f>
        <v/>
      </c>
    </row>
    <row r="99">
      <c r="A99" s="2" t="n">
        <v>2026</v>
      </c>
      <c r="B99" s="2" t="n">
        <v>4</v>
      </c>
      <c r="C99" s="25" t="n">
        <v>284.6</v>
      </c>
      <c r="D99" s="26" t="n">
        <v>3550</v>
      </c>
      <c r="E99" s="18">
        <f>(C99/100+VLOOKUP(A99,$H$4:$I$12,2,FALSE))*205.2*0.967*D99</f>
        <v/>
      </c>
      <c r="F99" s="2" t="inlineStr">
        <is>
          <t>reconstruido (D1 Anexo B)</t>
        </is>
      </c>
      <c r="G99" s="5" t="n">
        <v>2229900</v>
      </c>
      <c r="J99" s="13">
        <f>E99/G99-1</f>
        <v/>
      </c>
    </row>
    <row r="100">
      <c r="A100" s="2" t="n">
        <v>2026</v>
      </c>
      <c r="B100" s="2" t="n">
        <v>5</v>
      </c>
      <c r="C100" s="25" t="n">
        <v>268.2</v>
      </c>
      <c r="D100" s="26" t="n">
        <v>3480</v>
      </c>
      <c r="E100" s="18">
        <f>(C100/100+VLOOKUP(A100,$H$4:$I$12,2,FALSE))*205.2*0.967*D100</f>
        <v/>
      </c>
      <c r="F100" s="2" t="inlineStr">
        <is>
          <t>reconstruido (D1 Anexo B)</t>
        </is>
      </c>
      <c r="G100" s="5" t="n">
        <v>2229129.032258064</v>
      </c>
      <c r="J100" s="13">
        <f>E100/G100-1</f>
        <v/>
      </c>
    </row>
    <row r="101">
      <c r="A101" s="2" t="n">
        <v>2026</v>
      </c>
      <c r="B101" s="2" t="n">
        <v>6</v>
      </c>
      <c r="C101" s="25" t="n">
        <v>256.8</v>
      </c>
      <c r="D101" s="26" t="n">
        <v>3400</v>
      </c>
      <c r="E101" s="18">
        <f>(C101/100+VLOOKUP(A101,$H$4:$I$12,2,FALSE))*205.2*0.967*D101</f>
        <v/>
      </c>
      <c r="F101" s="2" t="inlineStr">
        <is>
          <t>reconstruido (D1 Anexo B)</t>
        </is>
      </c>
      <c r="G101" s="5" t="n">
        <v>2086866.666666667</v>
      </c>
      <c r="J101" s="13">
        <f>E101/G101-1</f>
        <v/>
      </c>
    </row>
    <row r="102">
      <c r="A102" s="2" t="n">
        <v>2026</v>
      </c>
      <c r="B102" s="2" t="n">
        <v>7</v>
      </c>
      <c r="C102" s="25" t="n">
        <v>321</v>
      </c>
      <c r="D102" s="26" t="n">
        <v>3250</v>
      </c>
      <c r="E102" s="18">
        <f>(C102/100+VLOOKUP(A102,$H$4:$I$12,2,FALSE))*205.2*0.967*D102</f>
        <v/>
      </c>
      <c r="F102" s="2" t="inlineStr">
        <is>
          <t>reconstruido (D1 Anexo B)</t>
        </is>
      </c>
      <c r="G102" s="5" t="n">
        <v>2244839</v>
      </c>
      <c r="J102" s="13">
        <f>E102/G102-1</f>
        <v/>
      </c>
    </row>
    <row r="103">
      <c r="A103" s="2" t="n">
        <v>2026</v>
      </c>
      <c r="B103" s="2" t="n">
        <v>8</v>
      </c>
      <c r="C103" s="25" t="n">
        <v>330</v>
      </c>
      <c r="D103" s="26" t="n">
        <v>3130</v>
      </c>
      <c r="E103" s="18">
        <f>(C103/100+VLOOKUP(A103,$H$4:$I$12,2,FALSE))*205.2*0.967*D103</f>
        <v/>
      </c>
      <c r="F103" s="2" t="inlineStr">
        <is>
          <t>reconstruido (D1 Anexo B)</t>
        </is>
      </c>
      <c r="G103" s="5" t="n">
        <v>2263548.387096774</v>
      </c>
      <c r="J103" s="13">
        <f>E103/G103-1</f>
        <v/>
      </c>
    </row>
    <row r="105">
      <c r="A105" s="2" t="inlineStr">
        <is>
          <t>Costo medio anual usado en el piso (COP/carga, aprox.):</t>
        </is>
      </c>
    </row>
    <row r="106">
      <c r="A106" s="2" t="n">
        <v>2019</v>
      </c>
      <c r="B106" s="5" t="n">
        <v>700000</v>
      </c>
    </row>
    <row r="107">
      <c r="A107" s="2" t="n">
        <v>2020</v>
      </c>
      <c r="B107" s="5" t="n">
        <v>745000</v>
      </c>
    </row>
    <row r="108">
      <c r="A108" s="2" t="n">
        <v>2021</v>
      </c>
      <c r="B108" s="5" t="n">
        <v>860000</v>
      </c>
    </row>
    <row r="109">
      <c r="A109" s="2" t="n">
        <v>2022</v>
      </c>
      <c r="B109" s="5" t="n">
        <v>1120000</v>
      </c>
    </row>
    <row r="110">
      <c r="A110" s="2" t="n">
        <v>2023</v>
      </c>
      <c r="B110" s="5" t="n">
        <v>1280000</v>
      </c>
    </row>
    <row r="111">
      <c r="A111" s="2" t="n">
        <v>2024</v>
      </c>
      <c r="B111" s="5" t="n">
        <v>1350000</v>
      </c>
    </row>
    <row r="112">
      <c r="A112" s="2" t="n">
        <v>2025</v>
      </c>
      <c r="B112" s="5" t="n">
        <v>1447000</v>
      </c>
    </row>
    <row r="113">
      <c r="A113" s="2" t="n">
        <v>2026</v>
      </c>
      <c r="B113" s="5" t="n">
        <v>1550800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</cols>
  <sheetData>
    <row r="1">
      <c r="A1" s="1" t="inlineStr">
        <is>
          <t>Back-proof 2019–2026 · serie oficial FNC · calendario v2.0 con disparador (D2 §9) – valores del motor pvc_model_v2.py</t>
        </is>
      </c>
    </row>
    <row r="3">
      <c r="A3" s="3" t="inlineStr">
        <is>
          <t>Franja</t>
        </is>
      </c>
      <c r="B3" s="3" t="inlineStr">
        <is>
          <t>Mirada atrás</t>
        </is>
      </c>
      <c r="C3" s="3" t="inlineStr">
        <is>
          <t>L</t>
        </is>
      </c>
      <c r="D3" s="3" t="inlineStr">
        <is>
          <t>Ancla</t>
        </is>
      </c>
      <c r="E3" s="3" t="inlineStr">
        <is>
          <t>PEC × 1,08</t>
        </is>
      </c>
      <c r="F3" s="3" t="inlineStr">
        <is>
          <t>Piso</t>
        </is>
      </c>
      <c r="G3" s="3" t="inlineStr">
        <is>
          <t>Gobierna</t>
        </is>
      </c>
      <c r="H3" s="3" t="inlineStr">
        <is>
          <t>PVC</t>
        </is>
      </c>
      <c r="I3" s="3" t="inlineStr">
        <is>
          <t>PVC tras disparo</t>
        </is>
      </c>
      <c r="J3" s="3" t="inlineStr">
        <is>
          <t>Realizado</t>
        </is>
      </c>
      <c r="K3" s="3" t="inlineStr">
        <is>
          <t>Prima ×1,0</t>
        </is>
      </c>
      <c r="L3" s="3" t="inlineStr">
        <is>
          <t>Black vs coop</t>
        </is>
      </c>
      <c r="M3" s="3" t="inlineStr">
        <is>
          <t>Disparos</t>
        </is>
      </c>
      <c r="N3" s="3" t="inlineStr">
        <is>
          <t>Cobertura</t>
        </is>
      </c>
    </row>
    <row r="4">
      <c r="A4" s="2" t="inlineStr">
        <is>
          <t>2019F1</t>
        </is>
      </c>
      <c r="B4" s="2" t="inlineStr">
        <is>
          <t>2018-05..2018-09</t>
        </is>
      </c>
      <c r="C4" s="18" t="n">
        <v>710363.3691756272</v>
      </c>
      <c r="D4" s="18" t="n">
        <v>693638.3285361641</v>
      </c>
      <c r="E4" s="18" t="n">
        <v>761918.976</v>
      </c>
      <c r="F4" s="18" t="n">
        <v>1050000</v>
      </c>
      <c r="G4" s="2" t="inlineStr">
        <is>
          <t>piso</t>
        </is>
      </c>
      <c r="H4" s="18" t="n">
        <v>1050000</v>
      </c>
      <c r="I4" s="18" t="n">
        <v>1050000</v>
      </c>
      <c r="J4" s="18" t="n">
        <v>721002.8801843318</v>
      </c>
      <c r="K4" s="13" t="n">
        <v>0.4565406572556305</v>
      </c>
      <c r="L4" s="13" t="n">
        <v>0.5846941871750002</v>
      </c>
      <c r="M4" s="2" t="n">
        <v>0</v>
      </c>
      <c r="N4" s="13" t="n">
        <v>1</v>
      </c>
    </row>
    <row r="5">
      <c r="A5" s="2" t="inlineStr">
        <is>
          <t>2019F2</t>
        </is>
      </c>
      <c r="B5" s="2" t="inlineStr">
        <is>
          <t>2018-08..2018-12</t>
        </is>
      </c>
      <c r="C5" s="18" t="n">
        <v>754974.1935483871</v>
      </c>
      <c r="D5" s="18" t="n">
        <v>746839.0391503719</v>
      </c>
      <c r="E5" s="18" t="n">
        <v>807074.9070967742</v>
      </c>
      <c r="F5" s="18" t="n">
        <v>1050000</v>
      </c>
      <c r="G5" s="2" t="inlineStr">
        <is>
          <t>piso</t>
        </is>
      </c>
      <c r="H5" s="18" t="n">
        <v>1050000</v>
      </c>
      <c r="I5" s="18" t="n">
        <v>1050000</v>
      </c>
      <c r="J5" s="18" t="n">
        <v>698403.9426523297</v>
      </c>
      <c r="K5" s="13" t="n">
        <v>0.5044795381777083</v>
      </c>
      <c r="L5" s="13" t="n">
        <v>0.6368509639587178</v>
      </c>
      <c r="M5" s="2" t="n">
        <v>0</v>
      </c>
      <c r="N5" s="13" t="n">
        <v>1</v>
      </c>
    </row>
    <row r="6">
      <c r="A6" s="2" t="inlineStr">
        <is>
          <t>2019F3</t>
        </is>
      </c>
      <c r="B6" s="2" t="inlineStr">
        <is>
          <t>2018-11..2019-03</t>
        </is>
      </c>
      <c r="C6" s="18" t="n">
        <v>715110.4403481822</v>
      </c>
      <c r="D6" s="18" t="n">
        <v>693583.1171419037</v>
      </c>
      <c r="E6" s="18" t="n">
        <v>765964.4283870967</v>
      </c>
      <c r="F6" s="18" t="n">
        <v>1050000</v>
      </c>
      <c r="G6" s="2" t="inlineStr">
        <is>
          <t>piso</t>
        </is>
      </c>
      <c r="H6" s="18" t="n">
        <v>1050000</v>
      </c>
      <c r="I6" s="18" t="n">
        <v>1050000</v>
      </c>
      <c r="J6" s="18" t="n">
        <v>791778.6738351254</v>
      </c>
      <c r="K6" s="13" t="n">
        <v>0.3262801984819161</v>
      </c>
      <c r="L6" s="13" t="n">
        <v>0.4429727798053014</v>
      </c>
      <c r="M6" s="2" t="n">
        <v>0</v>
      </c>
      <c r="N6" s="13" t="n">
        <v>1</v>
      </c>
    </row>
    <row r="7">
      <c r="A7" s="2" t="inlineStr">
        <is>
          <t>2019F4</t>
        </is>
      </c>
      <c r="B7" s="2" t="inlineStr">
        <is>
          <t>2019-02..2019-06</t>
        </is>
      </c>
      <c r="C7" s="18" t="n">
        <v>728452.7982590885</v>
      </c>
      <c r="D7" s="18" t="n">
        <v>758531.9571185177</v>
      </c>
      <c r="E7" s="18" t="n">
        <v>865052.3699999999</v>
      </c>
      <c r="F7" s="18" t="n">
        <v>1050000</v>
      </c>
      <c r="G7" s="2" t="inlineStr">
        <is>
          <t>piso</t>
        </is>
      </c>
      <c r="H7" s="18" t="n">
        <v>1050000</v>
      </c>
      <c r="I7" s="18" t="n">
        <v>1050000</v>
      </c>
      <c r="J7" s="18" t="n">
        <v>848210.2150537635</v>
      </c>
      <c r="K7" s="13" t="n">
        <v>0.2410430498644963</v>
      </c>
      <c r="L7" s="13" t="n">
        <v>0.3502360523596697</v>
      </c>
      <c r="M7" s="2" t="n">
        <v>0</v>
      </c>
      <c r="N7" s="13" t="n">
        <v>1</v>
      </c>
    </row>
    <row r="8">
      <c r="A8" s="2" t="inlineStr">
        <is>
          <t>2020F1</t>
        </is>
      </c>
      <c r="B8" s="2" t="inlineStr">
        <is>
          <t>2019-05..2019-09</t>
        </is>
      </c>
      <c r="C8" s="18" t="n">
        <v>796422.7598566308</v>
      </c>
      <c r="D8" s="18" t="n">
        <v>816383.9851174001</v>
      </c>
      <c r="E8" s="18" t="n">
        <v>904464.522</v>
      </c>
      <c r="F8" s="18" t="n">
        <v>1050000</v>
      </c>
      <c r="G8" s="2" t="inlineStr">
        <is>
          <t>piso</t>
        </is>
      </c>
      <c r="H8" s="18" t="n">
        <v>1050000</v>
      </c>
      <c r="I8" s="18" t="n">
        <v>1050000</v>
      </c>
      <c r="J8" s="18" t="n">
        <v>931464.5902855024</v>
      </c>
      <c r="K8" s="13" t="n">
        <v>0.1302617540591948</v>
      </c>
      <c r="L8" s="13" t="n">
        <v>0.2297076794399945</v>
      </c>
      <c r="M8" s="2" t="n">
        <v>0</v>
      </c>
      <c r="N8" s="13" t="n">
        <v>1</v>
      </c>
    </row>
    <row r="9">
      <c r="A9" s="2" t="inlineStr">
        <is>
          <t>2020F2</t>
        </is>
      </c>
      <c r="B9" s="2" t="inlineStr">
        <is>
          <t>2019-08..2019-12</t>
        </is>
      </c>
      <c r="C9" s="18" t="n">
        <v>901508.1720430107</v>
      </c>
      <c r="D9" s="18" t="n">
        <v>960539.0967741936</v>
      </c>
      <c r="E9" s="18" t="n">
        <v>1108193.957419355</v>
      </c>
      <c r="F9" s="18" t="n">
        <v>1117500</v>
      </c>
      <c r="G9" s="2" t="inlineStr">
        <is>
          <t>piso</t>
        </is>
      </c>
      <c r="H9" s="18" t="n">
        <v>1120000</v>
      </c>
      <c r="I9" s="18" t="n">
        <v>1270000</v>
      </c>
      <c r="J9" s="18" t="n">
        <v>1129210.394265233</v>
      </c>
      <c r="K9" s="13" t="n">
        <v>0.08273709330357264</v>
      </c>
      <c r="L9" s="13" t="n">
        <v>0.1780015679272551</v>
      </c>
      <c r="M9" s="2" t="n">
        <v>1</v>
      </c>
      <c r="N9" s="13" t="n">
        <v>0.6666666666666666</v>
      </c>
    </row>
    <row r="10">
      <c r="A10" s="2" t="inlineStr">
        <is>
          <t>2020F3</t>
        </is>
      </c>
      <c r="B10" s="2" t="inlineStr">
        <is>
          <t>2019-11..2020-03</t>
        </is>
      </c>
      <c r="C10" s="18" t="n">
        <v>994581.5647015201</v>
      </c>
      <c r="D10" s="18" t="n">
        <v>1076890.229143493</v>
      </c>
      <c r="E10" s="18" t="n">
        <v>1267984.556129032</v>
      </c>
      <c r="F10" s="18" t="n">
        <v>1117500</v>
      </c>
      <c r="G10" s="2" t="inlineStr">
        <is>
          <t>PEC</t>
        </is>
      </c>
      <c r="H10" s="18" t="n">
        <v>1270000</v>
      </c>
      <c r="I10" s="18" t="n">
        <v>1270000</v>
      </c>
      <c r="J10" s="18" t="n">
        <v>1036073.11827957</v>
      </c>
      <c r="K10" s="13" t="n">
        <v>0.2324665563789123</v>
      </c>
      <c r="L10" s="13" t="n">
        <v>0.3409049572712859</v>
      </c>
      <c r="M10" s="2" t="n">
        <v>0</v>
      </c>
      <c r="N10" s="13" t="n">
        <v>1</v>
      </c>
    </row>
    <row r="11">
      <c r="A11" s="2" t="inlineStr">
        <is>
          <t>2020F4</t>
        </is>
      </c>
      <c r="B11" s="2" t="inlineStr">
        <is>
          <t>2020-02..2020-06</t>
        </is>
      </c>
      <c r="C11" s="18" t="n">
        <v>1054111.62773452</v>
      </c>
      <c r="D11" s="18" t="n">
        <v>1024411.155794103</v>
      </c>
      <c r="E11" s="18" t="n">
        <v>1067899.248</v>
      </c>
      <c r="F11" s="18" t="n">
        <v>1117500</v>
      </c>
      <c r="G11" s="2" t="inlineStr">
        <is>
          <t>piso</t>
        </is>
      </c>
      <c r="H11" s="18" t="n">
        <v>1120000</v>
      </c>
      <c r="I11" s="18" t="n">
        <v>1270000</v>
      </c>
      <c r="J11" s="18" t="n">
        <v>1079805.734767025</v>
      </c>
      <c r="K11" s="13" t="n">
        <v>0.134288176613476</v>
      </c>
      <c r="L11" s="13" t="n">
        <v>0.2340883662303666</v>
      </c>
      <c r="M11" s="2" t="n">
        <v>1</v>
      </c>
      <c r="N11" s="13" t="n">
        <v>0.6666666666666666</v>
      </c>
    </row>
    <row r="12">
      <c r="A12" s="2" t="inlineStr">
        <is>
          <t>2021F1</t>
        </is>
      </c>
      <c r="B12" s="2" t="inlineStr">
        <is>
          <t>2020-05..2020-09</t>
        </is>
      </c>
      <c r="C12" s="18" t="n">
        <v>1085724.229390681</v>
      </c>
      <c r="D12" s="18" t="n">
        <v>1117735.585304043</v>
      </c>
      <c r="E12" s="18" t="n">
        <v>1266919.524</v>
      </c>
      <c r="F12" s="18" t="n">
        <v>1117500</v>
      </c>
      <c r="G12" s="2" t="inlineStr">
        <is>
          <t>PEC</t>
        </is>
      </c>
      <c r="H12" s="18" t="n">
        <v>1270000</v>
      </c>
      <c r="I12" s="18" t="n">
        <v>1270000</v>
      </c>
      <c r="J12" s="18" t="n">
        <v>1078135.560675883</v>
      </c>
      <c r="K12" s="13" t="n">
        <v>0.1787001191919752</v>
      </c>
      <c r="L12" s="13" t="n">
        <v>0.2824078874841736</v>
      </c>
      <c r="M12" s="2" t="n">
        <v>0</v>
      </c>
      <c r="N12" s="13" t="n">
        <v>1</v>
      </c>
    </row>
    <row r="13">
      <c r="A13" s="2" t="inlineStr">
        <is>
          <t>2021F2</t>
        </is>
      </c>
      <c r="B13" s="2" t="inlineStr">
        <is>
          <t>2020-08..2020-12</t>
        </is>
      </c>
      <c r="C13" s="18" t="n">
        <v>1066871.541218638</v>
      </c>
      <c r="D13" s="18" t="n">
        <v>1048611.650372537</v>
      </c>
      <c r="E13" s="18" t="n">
        <v>1162041.886451613</v>
      </c>
      <c r="F13" s="18" t="n">
        <v>1290000</v>
      </c>
      <c r="G13" s="2" t="inlineStr">
        <is>
          <t>piso</t>
        </is>
      </c>
      <c r="H13" s="18" t="n">
        <v>1290000</v>
      </c>
      <c r="I13" s="18" t="n">
        <v>1290000</v>
      </c>
      <c r="J13" s="18" t="n">
        <v>1249800.358422939</v>
      </c>
      <c r="K13" s="13" t="n">
        <v>0.03834901354862016</v>
      </c>
      <c r="L13" s="13" t="n">
        <v>0.1297080090642509</v>
      </c>
      <c r="M13" s="2" t="n">
        <v>1</v>
      </c>
      <c r="N13" s="13" t="n">
        <v>0.6666666666666666</v>
      </c>
    </row>
    <row r="14">
      <c r="A14" s="2" t="inlineStr">
        <is>
          <t>2021F3</t>
        </is>
      </c>
      <c r="B14" s="2" t="inlineStr">
        <is>
          <t>2020-11..2021-03</t>
        </is>
      </c>
      <c r="C14" s="18" t="n">
        <v>1106262.642089094</v>
      </c>
      <c r="D14" s="18" t="n">
        <v>1140954.102724778</v>
      </c>
      <c r="E14" s="18" t="n">
        <v>1282224.739354839</v>
      </c>
      <c r="F14" s="18" t="n">
        <v>1290000</v>
      </c>
      <c r="G14" s="2" t="inlineStr">
        <is>
          <t>piso</t>
        </is>
      </c>
      <c r="H14" s="18" t="n">
        <v>1290000</v>
      </c>
      <c r="I14" s="18" t="n">
        <v>1580000</v>
      </c>
      <c r="J14" s="18" t="n">
        <v>1562782.795698925</v>
      </c>
      <c r="K14" s="13" t="n">
        <v>-0.05140864494978969</v>
      </c>
      <c r="L14" s="13" t="n">
        <v>0.03205303529587689</v>
      </c>
      <c r="M14" s="2" t="n">
        <v>2</v>
      </c>
      <c r="N14" s="13" t="n">
        <v>0.3333333333333333</v>
      </c>
    </row>
    <row r="15">
      <c r="A15" s="2" t="inlineStr">
        <is>
          <t>2021F4</t>
        </is>
      </c>
      <c r="B15" s="2" t="inlineStr">
        <is>
          <t>2021-02..2021-06</t>
        </is>
      </c>
      <c r="C15" s="18" t="n">
        <v>1313042.811059908</v>
      </c>
      <c r="D15" s="18" t="n">
        <v>1384561.686635945</v>
      </c>
      <c r="E15" s="18" t="n">
        <v>1575894.528</v>
      </c>
      <c r="F15" s="18" t="n">
        <v>1290000</v>
      </c>
      <c r="G15" s="2" t="inlineStr">
        <is>
          <t>PEC</t>
        </is>
      </c>
      <c r="H15" s="18" t="n">
        <v>1580000</v>
      </c>
      <c r="I15" s="18" t="n">
        <v>1900000</v>
      </c>
      <c r="J15" s="18" t="n">
        <v>1832242.885428254</v>
      </c>
      <c r="K15" s="13" t="n">
        <v>-0.02084970834912936</v>
      </c>
      <c r="L15" s="13" t="n">
        <v>0.06530069574125001</v>
      </c>
      <c r="M15" s="2" t="n">
        <v>2</v>
      </c>
      <c r="N15" s="13" t="n">
        <v>0.3333333333333333</v>
      </c>
    </row>
    <row r="16">
      <c r="A16" s="2" t="inlineStr">
        <is>
          <t>2022F1</t>
        </is>
      </c>
      <c r="B16" s="2" t="inlineStr">
        <is>
          <t>2021-05..2021-09</t>
        </is>
      </c>
      <c r="C16" s="18" t="n">
        <v>1619711.806451613</v>
      </c>
      <c r="D16" s="18" t="n">
        <v>1690925.043870968</v>
      </c>
      <c r="E16" s="18" t="n">
        <v>1899034.98408</v>
      </c>
      <c r="F16" s="18" t="n">
        <v>1290000</v>
      </c>
      <c r="G16" s="2" t="inlineStr">
        <is>
          <t>PEC</t>
        </is>
      </c>
      <c r="H16" s="18" t="n">
        <v>1900000</v>
      </c>
      <c r="I16" s="18" t="n">
        <v>2350000</v>
      </c>
      <c r="J16" s="18" t="n">
        <v>2159383.512544803</v>
      </c>
      <c r="K16" s="13" t="n">
        <v>0.01777784269203945</v>
      </c>
      <c r="L16" s="13" t="n">
        <v>0.1073268865618216</v>
      </c>
      <c r="M16" s="2" t="n">
        <v>1</v>
      </c>
      <c r="N16" s="13" t="n">
        <v>0.6666666666666666</v>
      </c>
    </row>
    <row r="17">
      <c r="A17" s="2" t="inlineStr">
        <is>
          <t>2022F2</t>
        </is>
      </c>
      <c r="B17" s="2" t="inlineStr">
        <is>
          <t>2021-08..2021-12</t>
        </is>
      </c>
      <c r="C17" s="18" t="n">
        <v>1937661.929847979</v>
      </c>
      <c r="D17" s="18" t="n">
        <v>2051520.383715239</v>
      </c>
      <c r="E17" s="18" t="n">
        <v>2347519.250322581</v>
      </c>
      <c r="F17" s="18" t="n">
        <v>1680000</v>
      </c>
      <c r="G17" s="2" t="inlineStr">
        <is>
          <t>PEC</t>
        </is>
      </c>
      <c r="H17" s="18" t="n">
        <v>2350000</v>
      </c>
      <c r="I17" s="18" t="n">
        <v>2350000</v>
      </c>
      <c r="J17" s="18" t="n">
        <v>2037651.934247929</v>
      </c>
      <c r="K17" s="13" t="n">
        <v>0.1538386384462577</v>
      </c>
      <c r="L17" s="13" t="n">
        <v>0.2553589727655596</v>
      </c>
      <c r="M17" s="2" t="n">
        <v>0</v>
      </c>
      <c r="N17" s="13" t="n">
        <v>1</v>
      </c>
    </row>
    <row r="18">
      <c r="A18" s="2" t="inlineStr">
        <is>
          <t>2022F3</t>
        </is>
      </c>
      <c r="B18" s="2" t="inlineStr">
        <is>
          <t>2021-11..2022-03</t>
        </is>
      </c>
      <c r="C18" s="18" t="n">
        <v>2098321.814361637</v>
      </c>
      <c r="D18" s="18" t="n">
        <v>2053204.153539547</v>
      </c>
      <c r="E18" s="18" t="n">
        <v>2205868.784516129</v>
      </c>
      <c r="F18" s="18" t="n">
        <v>1680000</v>
      </c>
      <c r="G18" s="2" t="inlineStr">
        <is>
          <t>PEC</t>
        </is>
      </c>
      <c r="H18" s="18" t="n">
        <v>2210000</v>
      </c>
      <c r="I18" s="18" t="n">
        <v>2500000</v>
      </c>
      <c r="J18" s="18" t="n">
        <v>2246023.88530466</v>
      </c>
      <c r="K18" s="13" t="n">
        <v>0.02637987799405617</v>
      </c>
      <c r="L18" s="13" t="n">
        <v>0.116685770759853</v>
      </c>
      <c r="M18" s="2" t="n">
        <v>1</v>
      </c>
      <c r="N18" s="13" t="n">
        <v>0.6666666666666666</v>
      </c>
    </row>
    <row r="19">
      <c r="A19" s="2" t="inlineStr">
        <is>
          <t>2022F4</t>
        </is>
      </c>
      <c r="B19" s="2" t="inlineStr">
        <is>
          <t>2022-02..2022-06</t>
        </is>
      </c>
      <c r="C19" s="18" t="n">
        <v>2101421.769867754</v>
      </c>
      <c r="D19" s="18" t="n">
        <v>2124905.978928684</v>
      </c>
      <c r="E19" s="18" t="n">
        <v>2409354.324</v>
      </c>
      <c r="F19" s="18" t="n">
        <v>1680000</v>
      </c>
      <c r="G19" s="2" t="inlineStr">
        <is>
          <t>PEC</t>
        </is>
      </c>
      <c r="H19" s="18" t="n">
        <v>2410000</v>
      </c>
      <c r="I19" s="18" t="n">
        <v>2410000</v>
      </c>
      <c r="J19" s="18" t="n">
        <v>2222107.888888889</v>
      </c>
      <c r="K19" s="13" t="n">
        <v>0.09129637075349861</v>
      </c>
      <c r="L19" s="13" t="n">
        <v>0.1873139322294451</v>
      </c>
      <c r="M19" s="2" t="n">
        <v>0</v>
      </c>
      <c r="N19" s="13" t="n">
        <v>1</v>
      </c>
    </row>
    <row r="20">
      <c r="A20" s="2" t="inlineStr">
        <is>
          <t>2023F1</t>
        </is>
      </c>
      <c r="B20" s="2" t="inlineStr">
        <is>
          <t>2022-05..2022-09</t>
        </is>
      </c>
      <c r="C20" s="18" t="n">
        <v>2296606.420071684</v>
      </c>
      <c r="D20" s="18" t="n">
        <v>2379046.364501544</v>
      </c>
      <c r="E20" s="18" t="n">
        <v>2660837.868</v>
      </c>
      <c r="F20" s="18" t="n">
        <v>1680000</v>
      </c>
      <c r="G20" s="2" t="inlineStr">
        <is>
          <t>PEC</t>
        </is>
      </c>
      <c r="H20" s="18" t="n">
        <v>2660000</v>
      </c>
      <c r="I20" s="18" t="n">
        <v>2660000</v>
      </c>
      <c r="J20" s="18" t="n">
        <v>1948783.238095238</v>
      </c>
      <c r="K20" s="13" t="n">
        <v>0.3683426059045777</v>
      </c>
      <c r="L20" s="13" t="n">
        <v>0.4887360423748952</v>
      </c>
      <c r="M20" s="2" t="n">
        <v>0</v>
      </c>
      <c r="N20" s="13" t="n">
        <v>1</v>
      </c>
    </row>
    <row r="21">
      <c r="A21" s="2" t="inlineStr">
        <is>
          <t>2023F2</t>
        </is>
      </c>
      <c r="B21" s="2" t="inlineStr">
        <is>
          <t>2022-08..2022-12</t>
        </is>
      </c>
      <c r="C21" s="18" t="n">
        <v>2104718.622222222</v>
      </c>
      <c r="D21" s="18" t="n">
        <v>1997724.802138678</v>
      </c>
      <c r="E21" s="18" t="n">
        <v>2144041.77312</v>
      </c>
      <c r="F21" s="18" t="n">
        <v>1920000</v>
      </c>
      <c r="G21" s="2" t="inlineStr">
        <is>
          <t>PEC · tope 15%</t>
        </is>
      </c>
      <c r="H21" s="18" t="n">
        <v>2260000</v>
      </c>
      <c r="I21" s="18" t="n">
        <v>2260000</v>
      </c>
      <c r="J21" s="18" t="n">
        <v>1955998.924731183</v>
      </c>
      <c r="K21" s="13" t="n">
        <v>0.1559824984348958</v>
      </c>
      <c r="L21" s="13" t="n">
        <v>0.2576914599812017</v>
      </c>
      <c r="M21" s="2" t="n">
        <v>0</v>
      </c>
      <c r="N21" s="13" t="n">
        <v>1</v>
      </c>
    </row>
    <row r="22">
      <c r="A22" s="2" t="inlineStr">
        <is>
          <t>2023F3</t>
        </is>
      </c>
      <c r="B22" s="2" t="inlineStr">
        <is>
          <t>2022-11..2023-03</t>
        </is>
      </c>
      <c r="C22" s="18" t="n">
        <v>1975801.001228879</v>
      </c>
      <c r="D22" s="18" t="n">
        <v>1983100.222881926</v>
      </c>
      <c r="E22" s="18" t="n">
        <v>2210698.997419355</v>
      </c>
      <c r="F22" s="18" t="n">
        <v>1920000</v>
      </c>
      <c r="G22" s="2" t="inlineStr">
        <is>
          <t>PEC · banda muerta</t>
        </is>
      </c>
      <c r="H22" s="18" t="n">
        <v>2260000</v>
      </c>
      <c r="I22" s="18" t="n">
        <v>2260000</v>
      </c>
      <c r="J22" s="18" t="n">
        <v>1405256.989247312</v>
      </c>
      <c r="K22" s="13" t="n">
        <v>0.6197632015948299</v>
      </c>
      <c r="L22" s="13" t="n">
        <v>0.7622778446869012</v>
      </c>
      <c r="M22" s="2" t="n">
        <v>0</v>
      </c>
      <c r="N22" s="13" t="n">
        <v>1</v>
      </c>
    </row>
    <row r="23">
      <c r="A23" s="2" t="inlineStr">
        <is>
          <t>2023F4</t>
        </is>
      </c>
      <c r="B23" s="2" t="inlineStr">
        <is>
          <t>2023-02..2023-06</t>
        </is>
      </c>
      <c r="C23" s="18" t="n">
        <v>1831440.983102919</v>
      </c>
      <c r="D23" s="18" t="n">
        <v>1698466.589861751</v>
      </c>
      <c r="E23" s="18" t="n">
        <v>1750143.564</v>
      </c>
      <c r="F23" s="18" t="n">
        <v>1920000</v>
      </c>
      <c r="G23" s="2" t="inlineStr">
        <is>
          <t>piso · tope 15%</t>
        </is>
      </c>
      <c r="H23" s="18" t="n">
        <v>1920000</v>
      </c>
      <c r="I23" s="18" t="n">
        <v>1920000</v>
      </c>
      <c r="J23" s="18" t="n">
        <v>1357160.091954023</v>
      </c>
      <c r="K23" s="13" t="n">
        <v>0.416809455935343</v>
      </c>
      <c r="L23" s="13" t="n">
        <v>0.5414672415569012</v>
      </c>
      <c r="M23" s="2" t="n">
        <v>0</v>
      </c>
      <c r="N23" s="13" t="n">
        <v>1</v>
      </c>
    </row>
    <row r="24">
      <c r="A24" s="2" t="inlineStr">
        <is>
          <t>2024F1</t>
        </is>
      </c>
      <c r="B24" s="2" t="inlineStr">
        <is>
          <t>2023-05..2023-09</t>
        </is>
      </c>
      <c r="C24" s="18" t="n">
        <v>1380954.161290322</v>
      </c>
      <c r="D24" s="18" t="n">
        <v>1317239.956774193</v>
      </c>
      <c r="E24" s="18" t="n">
        <v>1426343.15772</v>
      </c>
      <c r="F24" s="18" t="n">
        <v>1920000</v>
      </c>
      <c r="G24" s="2" t="inlineStr">
        <is>
          <t>piso</t>
        </is>
      </c>
      <c r="H24" s="18" t="n">
        <v>1920000</v>
      </c>
      <c r="I24" s="18" t="n">
        <v>1920000</v>
      </c>
      <c r="J24" s="18" t="n">
        <v>1449373.35483871</v>
      </c>
      <c r="K24" s="13" t="n">
        <v>0.324945075830595</v>
      </c>
      <c r="L24" s="13" t="n">
        <v>0.4415201865706568</v>
      </c>
      <c r="M24" s="2" t="n">
        <v>0</v>
      </c>
      <c r="N24" s="13" t="n">
        <v>1</v>
      </c>
    </row>
    <row r="25">
      <c r="A25" s="2" t="inlineStr">
        <is>
          <t>2024F2</t>
        </is>
      </c>
      <c r="B25" s="2" t="inlineStr">
        <is>
          <t>2023-08..2023-12</t>
        </is>
      </c>
      <c r="C25" s="18" t="n">
        <v>1399687.280014831</v>
      </c>
      <c r="D25" s="18" t="n">
        <v>1447038.978214223</v>
      </c>
      <c r="E25" s="18" t="n">
        <v>1628533.11483871</v>
      </c>
      <c r="F25" s="18" t="n">
        <v>2025000</v>
      </c>
      <c r="G25" s="2" t="inlineStr">
        <is>
          <t>piso</t>
        </is>
      </c>
      <c r="H25" s="18" t="n">
        <v>2030000</v>
      </c>
      <c r="I25" s="18" t="n">
        <v>2030000</v>
      </c>
      <c r="J25" s="18" t="n">
        <v>1566063.799283154</v>
      </c>
      <c r="K25" s="13" t="n">
        <v>0.30096396234438</v>
      </c>
      <c r="L25" s="13" t="n">
        <v>0.4154290981041032</v>
      </c>
      <c r="M25" s="2" t="n">
        <v>0</v>
      </c>
      <c r="N25" s="13" t="n">
        <v>1</v>
      </c>
    </row>
    <row r="26">
      <c r="A26" s="2" t="inlineStr">
        <is>
          <t>2024F3</t>
        </is>
      </c>
      <c r="B26" s="2" t="inlineStr">
        <is>
          <t>2023-11..2024-03</t>
        </is>
      </c>
      <c r="C26" s="18" t="n">
        <v>1442670.50441231</v>
      </c>
      <c r="D26" s="18" t="n">
        <v>1445792.394237392</v>
      </c>
      <c r="E26" s="18" t="n">
        <v>1597333.517419355</v>
      </c>
      <c r="F26" s="18" t="n">
        <v>2025000</v>
      </c>
      <c r="G26" s="2" t="inlineStr">
        <is>
          <t>piso · banda muerta</t>
        </is>
      </c>
      <c r="H26" s="18" t="n">
        <v>2030000</v>
      </c>
      <c r="I26" s="18" t="n">
        <v>2030000</v>
      </c>
      <c r="J26" s="18" t="n">
        <v>1878914.444444444</v>
      </c>
      <c r="K26" s="13" t="n">
        <v>0.08122484755349513</v>
      </c>
      <c r="L26" s="13" t="n">
        <v>0.176356267442308</v>
      </c>
      <c r="M26" s="2" t="n">
        <v>0</v>
      </c>
      <c r="N26" s="13" t="n">
        <v>1</v>
      </c>
    </row>
    <row r="27">
      <c r="A27" s="2" t="inlineStr">
        <is>
          <t>2024F4</t>
        </is>
      </c>
      <c r="B27" s="2" t="inlineStr">
        <is>
          <t>2024-02..2024-06</t>
        </is>
      </c>
      <c r="C27" s="18" t="n">
        <v>1652840.190681003</v>
      </c>
      <c r="D27" s="18" t="n">
        <v>1754858.114408602</v>
      </c>
      <c r="E27" s="18" t="n">
        <v>2015380.692</v>
      </c>
      <c r="F27" s="18" t="n">
        <v>2025000</v>
      </c>
      <c r="G27" s="2" t="inlineStr">
        <is>
          <t>piso · banda muerta</t>
        </is>
      </c>
      <c r="H27" s="18" t="n">
        <v>2030000</v>
      </c>
      <c r="I27" s="18" t="n">
        <v>2350000</v>
      </c>
      <c r="J27" s="18" t="n">
        <v>2250030</v>
      </c>
      <c r="K27" s="13" t="n">
        <v>-0.001542877713755053</v>
      </c>
      <c r="L27" s="13" t="n">
        <v>0.08630623522155319</v>
      </c>
      <c r="M27" s="2" t="n">
        <v>2</v>
      </c>
      <c r="N27" s="13" t="n">
        <v>0.3333333333333333</v>
      </c>
    </row>
    <row r="28">
      <c r="A28" s="2" t="inlineStr">
        <is>
          <t>2025F1</t>
        </is>
      </c>
      <c r="B28" s="2" t="inlineStr">
        <is>
          <t>2024-05..2024-09</t>
        </is>
      </c>
      <c r="C28" s="18" t="n">
        <v>1948921.02437276</v>
      </c>
      <c r="D28" s="18" t="n">
        <v>2059850.614623656</v>
      </c>
      <c r="E28" s="18" t="n">
        <v>2351678.004</v>
      </c>
      <c r="F28" s="18" t="n">
        <v>2025000</v>
      </c>
      <c r="G28" s="2" t="inlineStr">
        <is>
          <t>PEC</t>
        </is>
      </c>
      <c r="H28" s="18" t="n">
        <v>2350000</v>
      </c>
      <c r="I28" s="18" t="n">
        <v>3070000</v>
      </c>
      <c r="J28" s="18" t="n">
        <v>2878233.486943165</v>
      </c>
      <c r="K28" s="13" t="n">
        <v>-0.01659083026342796</v>
      </c>
      <c r="L28" s="13" t="n">
        <v>0.06993429063108592</v>
      </c>
      <c r="M28" s="2" t="n">
        <v>2</v>
      </c>
      <c r="N28" s="13" t="n">
        <v>0.3333333333333333</v>
      </c>
    </row>
    <row r="29">
      <c r="A29" s="2" t="inlineStr">
        <is>
          <t>2025F2</t>
        </is>
      </c>
      <c r="B29" s="2" t="inlineStr">
        <is>
          <t>2024-08..2024-12</t>
        </is>
      </c>
      <c r="C29" s="18" t="n">
        <v>2423618.744802868</v>
      </c>
      <c r="D29" s="18" t="n">
        <v>2615417.053333333</v>
      </c>
      <c r="E29" s="18" t="n">
        <v>3066684.282580645</v>
      </c>
      <c r="F29" s="18" t="n">
        <v>2170500</v>
      </c>
      <c r="G29" s="2" t="inlineStr">
        <is>
          <t>PEC</t>
        </is>
      </c>
      <c r="H29" s="18" t="n">
        <v>3070000</v>
      </c>
      <c r="I29" s="18" t="n">
        <v>3070000</v>
      </c>
      <c r="J29" s="18" t="n">
        <v>3037214.64874552</v>
      </c>
      <c r="K29" s="13" t="n">
        <v>0.01082925712341047</v>
      </c>
      <c r="L29" s="13" t="n">
        <v>0.09976693064514852</v>
      </c>
      <c r="M29" s="2" t="n">
        <v>0</v>
      </c>
      <c r="N29" s="13" t="n">
        <v>1</v>
      </c>
    </row>
    <row r="30">
      <c r="A30" s="2" t="inlineStr">
        <is>
          <t>2025F3</t>
        </is>
      </c>
      <c r="B30" s="2" t="inlineStr">
        <is>
          <t>2024-11..2025-03</t>
        </is>
      </c>
      <c r="C30" s="18" t="n">
        <v>2932441.771633385</v>
      </c>
      <c r="D30" s="18" t="n">
        <v>3042334.740399386</v>
      </c>
      <c r="E30" s="18" t="n">
        <v>3387875.550967742</v>
      </c>
      <c r="F30" s="18" t="n">
        <v>2170500</v>
      </c>
      <c r="G30" s="2" t="inlineStr">
        <is>
          <t>PEC</t>
        </is>
      </c>
      <c r="H30" s="18" t="n">
        <v>3390000</v>
      </c>
      <c r="I30" s="18" t="n">
        <v>3390000</v>
      </c>
      <c r="J30" s="18" t="n">
        <v>2609500.827956989</v>
      </c>
      <c r="K30" s="13" t="n">
        <v>0.3049557610150084</v>
      </c>
      <c r="L30" s="13" t="n">
        <v>0.419772114633169</v>
      </c>
      <c r="M30" s="2" t="n">
        <v>0</v>
      </c>
      <c r="N30" s="13" t="n">
        <v>1</v>
      </c>
    </row>
    <row r="31">
      <c r="A31" s="2" t="inlineStr">
        <is>
          <t>2025F4</t>
        </is>
      </c>
      <c r="B31" s="2" t="inlineStr">
        <is>
          <t>2025-02..2025-06</t>
        </is>
      </c>
      <c r="C31" s="18" t="n">
        <v>2927643.043625192</v>
      </c>
      <c r="D31" s="18" t="n">
        <v>2793375.46945733</v>
      </c>
      <c r="E31" s="18" t="n">
        <v>2995360.89372</v>
      </c>
      <c r="F31" s="18" t="n">
        <v>2170500</v>
      </c>
      <c r="G31" s="2" t="inlineStr">
        <is>
          <t>PEC</t>
        </is>
      </c>
      <c r="H31" s="18" t="n">
        <v>3000000</v>
      </c>
      <c r="I31" s="18" t="n">
        <v>3000000</v>
      </c>
      <c r="J31" s="18" t="n">
        <v>2936900.716845877</v>
      </c>
      <c r="K31" s="13" t="n">
        <v>0.02162079301819538</v>
      </c>
      <c r="L31" s="13" t="n">
        <v>0.1115079583452457</v>
      </c>
      <c r="M31" s="2" t="n">
        <v>0</v>
      </c>
      <c r="N31" s="13" t="n">
        <v>1</v>
      </c>
    </row>
    <row r="32">
      <c r="A32" s="2" t="inlineStr">
        <is>
          <t>2026F1</t>
        </is>
      </c>
      <c r="B32" s="2" t="inlineStr">
        <is>
          <t>2025-05..2025-09</t>
        </is>
      </c>
      <c r="C32" s="18" t="n">
        <v>2759093.225089605</v>
      </c>
      <c r="D32" s="18" t="n">
        <v>2836400.77823217</v>
      </c>
      <c r="E32" s="18" t="n">
        <v>3289916.448</v>
      </c>
      <c r="F32" s="18" t="n">
        <v>2170500</v>
      </c>
      <c r="G32" s="2" t="inlineStr">
        <is>
          <t>PEC</t>
        </is>
      </c>
      <c r="H32" s="18" t="n">
        <v>3290000</v>
      </c>
      <c r="I32" s="18" t="n">
        <v>3290000</v>
      </c>
      <c r="J32" s="18" t="n">
        <v>2515757.344086022</v>
      </c>
      <c r="K32" s="13" t="n">
        <v>0.3212109463262977</v>
      </c>
      <c r="L32" s="13" t="n">
        <v>0.4374575101941742</v>
      </c>
      <c r="M32" s="2" t="n">
        <v>0</v>
      </c>
      <c r="N32" s="13" t="n">
        <v>1</v>
      </c>
    </row>
    <row r="33">
      <c r="A33" s="2" t="inlineStr">
        <is>
          <t>2026F2</t>
        </is>
      </c>
      <c r="B33" s="2" t="inlineStr">
        <is>
          <t>2025-08..2025-12</t>
        </is>
      </c>
      <c r="C33" s="18" t="n">
        <v>2855984.516129031</v>
      </c>
      <c r="D33" s="18" t="n">
        <v>2810151.393812943</v>
      </c>
      <c r="E33" s="18" t="n">
        <v>3044894.655483871</v>
      </c>
      <c r="F33" s="18" t="n">
        <v>2326200</v>
      </c>
      <c r="G33" s="2" t="inlineStr">
        <is>
          <t>PEC</t>
        </is>
      </c>
      <c r="H33" s="18" t="n">
        <v>3040000</v>
      </c>
      <c r="I33" s="18" t="n">
        <v>3040000</v>
      </c>
      <c r="J33" s="18" t="n">
        <v>2228719.35483871</v>
      </c>
      <c r="K33" s="13" t="n">
        <v>0.3640123993960216</v>
      </c>
      <c r="L33" s="13" t="n">
        <v>0.4840248432407047</v>
      </c>
      <c r="M33" s="2" t="n">
        <v>0</v>
      </c>
      <c r="N33" s="13" t="n">
        <v>1</v>
      </c>
    </row>
    <row r="34">
      <c r="A34" s="2" t="inlineStr">
        <is>
          <t>2026F3</t>
        </is>
      </c>
      <c r="B34" s="2" t="inlineStr">
        <is>
          <t>2025-11..2026-03</t>
        </is>
      </c>
      <c r="C34" s="18" t="n">
        <v>2406400.785663082</v>
      </c>
      <c r="D34" s="18" t="n">
        <v>2290149.503655914</v>
      </c>
      <c r="E34" s="18" t="n">
        <v>2470242.437419355</v>
      </c>
      <c r="F34" s="18" t="n">
        <v>2326200</v>
      </c>
      <c r="G34" s="2" t="inlineStr">
        <is>
          <t>PEC · tope 15%</t>
        </is>
      </c>
      <c r="H34" s="18" t="n">
        <v>2580000</v>
      </c>
      <c r="I34" s="18" t="n">
        <v>2580000</v>
      </c>
      <c r="J34" s="18" t="n">
        <v>2198418.017921147</v>
      </c>
      <c r="K34" s="13" t="n">
        <v>0.175136492209106</v>
      </c>
      <c r="L34" s="13" t="n">
        <v>0.2785307152700776</v>
      </c>
      <c r="M34" s="2" t="n">
        <v>0</v>
      </c>
      <c r="N34" s="13" t="n">
        <v>1</v>
      </c>
    </row>
    <row r="36">
      <c r="A36" s="12" t="inlineStr">
        <is>
          <t>Resumen</t>
        </is>
      </c>
    </row>
    <row r="37">
      <c r="A37" s="2" t="inlineStr">
        <is>
          <t>Prima media ×1,0</t>
        </is>
      </c>
      <c r="C37" s="13" t="n">
        <v>0.1932207781345616</v>
      </c>
    </row>
    <row r="38">
      <c r="A38" s="2" t="inlineStr">
        <is>
          <t>Mediana</t>
        </is>
      </c>
      <c r="C38" s="13" t="n">
        <v>0.1559824984348958</v>
      </c>
    </row>
    <row r="39">
      <c r="A39" s="2" t="inlineStr">
        <is>
          <t>Peor franja</t>
        </is>
      </c>
      <c r="C39" s="13" t="n">
        <v>-0.05140864494978969</v>
      </c>
    </row>
    <row r="40">
      <c r="A40" s="2" t="inlineStr">
        <is>
          <t>Franjas negativas</t>
        </is>
      </c>
      <c r="C40" s="22" t="n">
        <v>4</v>
      </c>
    </row>
    <row r="41">
      <c r="A41" s="2" t="inlineStr">
        <is>
          <t>Black vs coop, media</t>
        </is>
      </c>
      <c r="C41" s="13" t="n">
        <v>0.2982061446118693</v>
      </c>
    </row>
    <row r="42">
      <c r="A42" s="2" t="inlineStr">
        <is>
          <t>Black, peor</t>
        </is>
      </c>
      <c r="C42" s="13" t="n">
        <v>0.03205303529587689</v>
      </c>
    </row>
    <row r="43">
      <c r="A43" s="2" t="inlineStr">
        <is>
          <t>Franjas con disparo</t>
        </is>
      </c>
      <c r="C43" s="22" t="n">
        <v>9</v>
      </c>
    </row>
    <row r="44">
      <c r="A44" s="2" t="inlineStr">
        <is>
          <t>Gobierna piso</t>
        </is>
      </c>
      <c r="C44" s="22" t="n">
        <v>14</v>
      </c>
    </row>
    <row r="45">
      <c r="A45" s="2" t="inlineStr">
        <is>
          <t>Gobierna PEC</t>
        </is>
      </c>
      <c r="C45" s="22" t="n">
        <v>17</v>
      </c>
    </row>
    <row r="46">
      <c r="A46" s="2" t="inlineStr">
        <is>
          <t>Cobertura media</t>
        </is>
      </c>
      <c r="C46" s="13" t="n">
        <v>0.8602150537634409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78" customWidth="1" min="3" max="3"/>
  </cols>
  <sheetData>
    <row r="1">
      <c r="A1" s="1" t="inlineStr">
        <is>
          <t>Matriz de grado (D2 §8.1) y subasta Tyrian (D2 §8.2)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Regla</t>
        </is>
      </c>
    </row>
    <row r="4">
      <c r="A4" s="2" t="inlineStr">
        <is>
          <t>Puntaje SCA de la muestra</t>
        </is>
      </c>
      <c r="B4" s="25" t="n">
        <v>86.7</v>
      </c>
      <c r="C4" s="2" t="inlineStr">
        <is>
          <t>Catador Q, formato SCA</t>
        </is>
      </c>
    </row>
    <row r="5">
      <c r="A5" s="2" t="inlineStr">
        <is>
          <t>Reconocimientos (–, +, ++)</t>
        </is>
      </c>
      <c r="B5" s="4" t="inlineStr">
        <is>
          <t>–</t>
        </is>
      </c>
      <c r="C5" s="2" t="inlineStr">
        <is>
          <t>+ = 1 punto (lista publicada); ++ = 2 puntos (extraordinario)</t>
        </is>
      </c>
    </row>
    <row r="6">
      <c r="A6" s="2" t="inlineStr">
        <is>
          <t>Genética (A, B, C)</t>
        </is>
      </c>
      <c r="B6" s="4" t="inlineStr">
        <is>
          <t>B</t>
        </is>
      </c>
      <c r="C6" s="2" t="inlineStr">
        <is>
          <t>Lista A/B/C del comité para la franja</t>
        </is>
      </c>
    </row>
    <row r="7">
      <c r="A7" s="2" t="inlineStr">
        <is>
          <t>Factor de rendimiento</t>
        </is>
      </c>
      <c r="B7" s="26" t="n">
        <v>92</v>
      </c>
      <c r="C7" s="2" t="inlineStr">
        <is>
          <t>≤ 94 (Black hasta 98); el FR excluye, no baja de banda</t>
        </is>
      </c>
    </row>
    <row r="9">
      <c r="A9" s="2" t="inlineStr">
        <is>
          <t>Puntaje de grado</t>
        </is>
      </c>
      <c r="B9" s="27">
        <f>B4+IF(B5="+",1,IF(B5="++",2,0))</f>
        <v/>
      </c>
    </row>
    <row r="10">
      <c r="A10" s="2" t="inlineStr">
        <is>
          <t>Banda por puntaje</t>
        </is>
      </c>
      <c r="B10" s="2">
        <f>IF(B9&gt;=89.0,"Tyrian",IF(B9&gt;=88,"Gold",IF(B9&gt;=86,"Blue",IF(B9&gt;=84,"Red",IF(B9&gt;=80,"Black","no entra")))))</f>
        <v/>
      </c>
    </row>
    <row r="11">
      <c r="A11" s="2" t="inlineStr">
        <is>
          <t>Tope por genética</t>
        </is>
      </c>
      <c r="B11" s="2">
        <f>IF(B6="C",IF(OR(B10="Gold",B10="Tyrian"),"Blue",B10),B10)</f>
        <v/>
      </c>
      <c r="C11" s="2" t="inlineStr">
        <is>
          <t>C alcanza como máximo Blue; Gold y Tyrian sólo A/B</t>
        </is>
      </c>
    </row>
    <row r="12">
      <c r="A12" s="2" t="inlineStr">
        <is>
          <t>Regla genética A bajo 86</t>
        </is>
      </c>
      <c r="B12" s="2">
        <f>IF(AND(B6="A",B9&lt;86),"segunda catación interna (costo CTCx); si se confirma, se declina con retroalimentación","ok")</f>
        <v/>
      </c>
    </row>
    <row r="13">
      <c r="A13" s="2" t="inlineStr">
        <is>
          <t>Puerta de FR</t>
        </is>
      </c>
      <c r="B13" s="2">
        <f>IF(B11="no entra","no entra",IF(B7&gt;IF(B11="Black",98,94),"FR fuera de rango: no entra","ok"))</f>
        <v/>
      </c>
    </row>
    <row r="14">
      <c r="A14" s="2" t="inlineStr">
        <is>
          <t>GRADO</t>
        </is>
      </c>
      <c r="B14" s="28">
        <f>IF(B12&lt;&gt;"ok",B12,IF(B13&lt;&gt;"ok",B13,B11))</f>
        <v/>
      </c>
    </row>
    <row r="15">
      <c r="A15" s="2" t="inlineStr">
        <is>
          <t>Precio del contrato por carga FR 94</t>
        </is>
      </c>
      <c r="B15" s="29">
        <f>IF(B14="Black",Escalera!C5,IF(B14="Red",Escalera!C6,IF(B14="Blue",Escalera!C7,IF(B14="Gold",Escalera!C8,IF(B14="Tyrian",Escalera!C8,0)))))</f>
        <v/>
      </c>
      <c r="C15" s="2" t="inlineStr">
        <is>
          <t>Tyrian: precio de partida de la subasta = Gold</t>
        </is>
      </c>
    </row>
    <row r="17">
      <c r="A17" s="12" t="inlineStr">
        <is>
          <t>Subasta Tyrian</t>
        </is>
      </c>
    </row>
    <row r="18">
      <c r="A18" s="2" t="inlineStr">
        <is>
          <t>Precio de partida (= Gold)</t>
        </is>
      </c>
      <c r="B18" s="18">
        <f>Escalera!C8</f>
        <v/>
      </c>
    </row>
    <row r="19">
      <c r="A19" s="2" t="inlineStr">
        <is>
          <t>Precio de cierre de la subasta por carga</t>
        </is>
      </c>
      <c r="B19" s="5">
        <f>Calculo!$C$17*2.6</f>
        <v/>
      </c>
      <c r="C19" s="2" t="inlineStr">
        <is>
          <t>Ejemplo: PVC × 2,6; reserva = partida</t>
        </is>
      </c>
    </row>
    <row r="20">
      <c r="A20" s="2" t="inlineStr">
        <is>
          <t>Excedente sobre la partida</t>
        </is>
      </c>
      <c r="B20" s="18">
        <f>MAX(0,B19-B18)</f>
        <v/>
      </c>
    </row>
    <row r="21">
      <c r="A21" s="2" t="inlineStr">
        <is>
          <t>Productor (80% del excedente)</t>
        </is>
      </c>
      <c r="B21" s="20">
        <f>B20*0.8</f>
        <v/>
      </c>
    </row>
    <row r="22">
      <c r="A22" s="2" t="inlineStr">
        <is>
          <t>CTCx (19% del excedente)</t>
        </is>
      </c>
      <c r="B22" s="18">
        <f>B20*(1-0.8)</f>
        <v/>
      </c>
    </row>
    <row r="23">
      <c r="A23" s="2" t="inlineStr">
        <is>
          <t>Precio total al productor por carga</t>
        </is>
      </c>
      <c r="B23" s="29">
        <f>B18+B21</f>
        <v/>
      </c>
      <c r="C23" s="2" t="inlineStr">
        <is>
          <t>Carga 1 comprada a Gold y reliquidada al alza; liquidación a ≤ 2 días hábiles del cierre</t>
        </is>
      </c>
    </row>
    <row r="25">
      <c r="A25" s="12" t="inlineStr">
        <is>
          <t>MOQ del comprador en verde empacado al vacío (kg)</t>
        </is>
      </c>
    </row>
    <row r="26">
      <c r="A26" s="2" t="inlineStr">
        <is>
          <t>Black</t>
        </is>
      </c>
      <c r="B26" s="22" t="n">
        <v>228</v>
      </c>
      <c r="C26" s="2" t="inlineStr">
        <is>
          <t>Bolsas de 6 kg (también 3 y 12 kg); todo MOQ es múltiplo de 6; desde el productor la unidad es la carga de pergamino (kg garantizados por carga: Pila_de_precios)</t>
        </is>
      </c>
    </row>
    <row r="27">
      <c r="A27" s="2" t="inlineStr">
        <is>
          <t>Red</t>
        </is>
      </c>
      <c r="B27" s="22" t="n">
        <v>228</v>
      </c>
    </row>
    <row r="28">
      <c r="A28" s="2" t="inlineStr">
        <is>
          <t>Blue</t>
        </is>
      </c>
      <c r="B28" s="22" t="n">
        <v>150</v>
      </c>
    </row>
    <row r="29">
      <c r="A29" s="2" t="inlineStr">
        <is>
          <t>Gold</t>
        </is>
      </c>
      <c r="B29" s="22" t="n">
        <v>60</v>
      </c>
    </row>
    <row r="30">
      <c r="A30" s="2" t="inlineStr">
        <is>
          <t>Tyrian</t>
        </is>
      </c>
      <c r="B30" s="22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1" t="inlineStr">
        <is>
          <t>Pila de precios al comprador (D2 §13.1) · US$/kg de verde garantizado a la TRM del corte · N0 finca → N1 empacado → N2 FCA Bogotá (≈FOB) → N3 CIP aeropuerto (≈CIF) → N4 DDP</t>
        </is>
      </c>
    </row>
    <row r="2">
      <c r="A2" s="17" t="inlineStr">
        <is>
          <t>Fondo NARANJA = costo ESTIMADO (valor de relleno; sustituir por la cotización sin tocar nada más). Fondo AMARILLO = decisión CTCx. Azul = entrada. Los Incoterms aéreos son los del contrato; FOB/CIF sólo como analogía.</t>
        </is>
      </c>
    </row>
    <row r="3">
      <c r="A3" s="3" t="inlineStr">
        <is>
          <t>Parámetro</t>
        </is>
      </c>
      <c r="B3" s="3" t="inlineStr">
        <is>
          <t>Valor</t>
        </is>
      </c>
      <c r="C3" s="3" t="inlineStr">
        <is>
          <t>Unidad</t>
        </is>
      </c>
      <c r="D3" s="3" t="inlineStr">
        <is>
          <t>Naturaleza / nota</t>
        </is>
      </c>
    </row>
    <row r="4">
      <c r="A4" s="2" t="inlineStr">
        <is>
          <t>Kilos de excelso por carga FR 94</t>
        </is>
      </c>
      <c r="B4" s="4" t="n">
        <v>93.09</v>
      </c>
      <c r="C4" s="2" t="inlineStr">
        <is>
          <t>kg</t>
        </is>
      </c>
      <c r="D4" s="2" t="inlineStr">
        <is>
          <t>Medido · Tabla FNC (93,09 kg); FR 96 = 91,15 kg</t>
        </is>
      </c>
    </row>
    <row r="5">
      <c r="A5" s="2" t="inlineStr">
        <is>
          <t>Kilos de verde perfecto GARANTIZADOS por carga</t>
        </is>
      </c>
      <c r="B5" s="30" t="n">
        <v>78</v>
      </c>
      <c r="C5" s="2" t="inlineStr">
        <is>
          <t>kg</t>
        </is>
      </c>
      <c r="D5" s="2" t="inlineStr">
        <is>
          <t>Decisión CTCx · Propuesta: 13 bolsas de 6 kg; admite 16% de merma con FR 94 y 14% con FR 96. El resto va a kits, promoción y tostado</t>
        </is>
      </c>
    </row>
    <row r="6">
      <c r="A6" s="2" t="inlineStr">
        <is>
          <t>Bolsa (denominador de todo MOQ)</t>
        </is>
      </c>
      <c r="B6" s="30" t="n">
        <v>6</v>
      </c>
      <c r="C6" s="2" t="inlineStr">
        <is>
          <t>kg</t>
        </is>
      </c>
      <c r="D6" s="2" t="inlineStr">
        <is>
          <t>Decisión CTCx · También 3 y 12 kg</t>
        </is>
      </c>
    </row>
    <row r="7">
      <c r="A7" s="2" t="inlineStr">
        <is>
          <t>Valor recuperado del café fuera de garantía</t>
        </is>
      </c>
      <c r="B7" s="31" t="n">
        <v>0</v>
      </c>
      <c r="C7" s="2" t="inlineStr">
        <is>
          <t>US$/kg</t>
        </is>
      </c>
      <c r="D7" s="2" t="inlineStr">
        <is>
          <t>ESTIMADO (pendiente cotización) · 0 = conservador; si los kits se venden, aquí entra su valor y baja N0</t>
        </is>
      </c>
    </row>
    <row r="8">
      <c r="A8" s="2" t="inlineStr">
        <is>
          <t>Procesamiento y empaque (trilla, selección, vacío 6 kg)</t>
        </is>
      </c>
      <c r="B8" s="31" t="n">
        <v>0.95</v>
      </c>
      <c r="C8" s="2" t="inlineStr">
        <is>
          <t>US$/kg</t>
        </is>
      </c>
      <c r="D8" s="2" t="inlineStr">
        <is>
          <t>ESTIMADO (pendiente cotización) · Cotizar trilladora</t>
        </is>
      </c>
    </row>
    <row r="9">
      <c r="A9" s="2" t="inlineStr">
        <is>
          <t>Paletizaje en Bogotá</t>
        </is>
      </c>
      <c r="B9" s="31" t="n">
        <v>0.1</v>
      </c>
      <c r="C9" s="2" t="inlineStr">
        <is>
          <t>US$/kg</t>
        </is>
      </c>
      <c r="D9" s="2" t="inlineStr">
        <is>
          <t>ESTIMADO (pendiente cotización)</t>
        </is>
      </c>
    </row>
    <row r="10">
      <c r="A10" s="2" t="inlineStr">
        <is>
          <t>Transporte interno (trilladora → Bogotá → El Dorado)</t>
        </is>
      </c>
      <c r="B10" s="31" t="n">
        <v>0.2</v>
      </c>
      <c r="C10" s="2" t="inlineStr">
        <is>
          <t>US$/kg</t>
        </is>
      </c>
      <c r="D10" s="2" t="inlineStr">
        <is>
          <t>ESTIMADO (pendiente cotización)</t>
        </is>
      </c>
    </row>
    <row r="11">
      <c r="A11" s="2" t="inlineStr">
        <is>
          <t>Gastos de exportación (aduana, DEX, ICA/FNC, terminal)</t>
        </is>
      </c>
      <c r="B11" s="31" t="n">
        <v>0.25</v>
      </c>
      <c r="C11" s="2" t="inlineStr">
        <is>
          <t>US$/kg</t>
        </is>
      </c>
      <c r="D11" s="2" t="inlineStr">
        <is>
          <t>ESTIMADO (pendiente cotización)</t>
        </is>
      </c>
    </row>
    <row r="12">
      <c r="A12" s="2" t="inlineStr">
        <is>
          <t>Tarifa CTCx base (cobertura + profit máximo)</t>
        </is>
      </c>
      <c r="B12" s="31" t="n">
        <v>1.2</v>
      </c>
      <c r="C12" s="2" t="inlineStr">
        <is>
          <t>US$/kg</t>
        </is>
      </c>
      <c r="D12" s="2" t="inlineStr">
        <is>
          <t>ESTIMADO (pendiente cotización) · No depende del modo de envío; se multiplica por el factor de banda</t>
        </is>
      </c>
    </row>
    <row r="13">
      <c r="A13" s="2" t="inlineStr">
        <is>
          <t>Factor de banda Tarifa CTCx · Black</t>
        </is>
      </c>
      <c r="B13" s="9" t="n">
        <v>1</v>
      </c>
      <c r="C13" s="2" t="inlineStr">
        <is>
          <t>×</t>
        </is>
      </c>
      <c r="D13" s="2" t="inlineStr">
        <is>
          <t>Decisión CTCx</t>
        </is>
      </c>
    </row>
    <row r="14">
      <c r="A14" s="2" t="inlineStr">
        <is>
          <t>Factor de banda Tarifa CTCx · Red</t>
        </is>
      </c>
      <c r="B14" s="9" t="n">
        <v>1.1</v>
      </c>
      <c r="C14" s="2" t="inlineStr">
        <is>
          <t>×</t>
        </is>
      </c>
      <c r="D14" s="2" t="inlineStr">
        <is>
          <t>Decisión CTCx</t>
        </is>
      </c>
    </row>
    <row r="15">
      <c r="A15" s="2" t="inlineStr">
        <is>
          <t>Factor de banda Tarifa CTCx · Blue</t>
        </is>
      </c>
      <c r="B15" s="9" t="n">
        <v>1.25</v>
      </c>
      <c r="C15" s="2" t="inlineStr">
        <is>
          <t>×</t>
        </is>
      </c>
      <c r="D15" s="2" t="inlineStr">
        <is>
          <t>Decisión CTCx</t>
        </is>
      </c>
    </row>
    <row r="16">
      <c r="A16" s="2" t="inlineStr">
        <is>
          <t>Factor de banda Tarifa CTCx · Gold</t>
        </is>
      </c>
      <c r="B16" s="9" t="n">
        <v>1.5</v>
      </c>
      <c r="C16" s="2" t="inlineStr">
        <is>
          <t>×</t>
        </is>
      </c>
      <c r="D16" s="2" t="inlineStr">
        <is>
          <t>Decisión CTCx</t>
        </is>
      </c>
    </row>
    <row r="17">
      <c r="A17" s="2" t="inlineStr">
        <is>
          <t>Factor de banda Tarifa CTCx · Tyrian</t>
        </is>
      </c>
      <c r="B17" s="9" t="n">
        <v>2</v>
      </c>
      <c r="C17" s="2" t="inlineStr">
        <is>
          <t>×</t>
        </is>
      </c>
      <c r="D17" s="2" t="inlineStr">
        <is>
          <t>Decisión CTCx</t>
        </is>
      </c>
    </row>
    <row r="18">
      <c r="A18" s="2" t="inlineStr">
        <is>
          <t>Recargo de servicio del nivel FCA</t>
        </is>
      </c>
      <c r="B18" s="31" t="n">
        <v>0</v>
      </c>
      <c r="C18" s="2" t="inlineStr">
        <is>
          <t>US$/kg</t>
        </is>
      </c>
      <c r="D18" s="2" t="inlineStr">
        <is>
          <t>ESTIMADO (pendiente cotización) · Dentro de la Tarifa CTCx</t>
        </is>
      </c>
    </row>
    <row r="19">
      <c r="A19" s="2" t="inlineStr">
        <is>
          <t>Recargo de servicio del nivel CIP</t>
        </is>
      </c>
      <c r="B19" s="31" t="n">
        <v>0.35</v>
      </c>
      <c r="C19" s="2" t="inlineStr">
        <is>
          <t>US$/kg</t>
        </is>
      </c>
      <c r="D19" s="2" t="inlineStr">
        <is>
          <t>ESTIMADO (pendiente cotización) · Trabajo más complejo: contratación de flete y seguro</t>
        </is>
      </c>
    </row>
    <row r="20">
      <c r="A20" s="2" t="inlineStr">
        <is>
          <t>Recargo de servicio del nivel DDP</t>
        </is>
      </c>
      <c r="B20" s="31" t="n">
        <v>0.9</v>
      </c>
      <c r="C20" s="2" t="inlineStr">
        <is>
          <t>US$/kg</t>
        </is>
      </c>
      <c r="D20" s="2" t="inlineStr">
        <is>
          <t>ESTIMADO (pendiente cotización) · Nacionalización y entrega en destino</t>
        </is>
      </c>
    </row>
    <row r="21">
      <c r="A21" s="2" t="inlineStr">
        <is>
          <t>Factor de modo · aéreo (multiplica el flete)</t>
        </is>
      </c>
      <c r="B21" s="9" t="n">
        <v>1</v>
      </c>
      <c r="C21" s="2" t="inlineStr">
        <is>
          <t>×</t>
        </is>
      </c>
      <c r="D21" s="2" t="inlineStr">
        <is>
          <t>Decisión CTCx · El factor de modo vive en el flete (FCA → CIP), no en la tarifa. Marítimo: estructura propia pendiente</t>
        </is>
      </c>
    </row>
    <row r="22">
      <c r="A22" s="2" t="inlineStr">
        <is>
          <t>Seguro (prima sobre el valor asegurado)</t>
        </is>
      </c>
      <c r="B22" s="32" t="n">
        <v>0.006</v>
      </c>
      <c r="C22" s="2" t="inlineStr">
        <is>
          <t>%</t>
        </is>
      </c>
      <c r="D22" s="2" t="inlineStr">
        <is>
          <t>ESTIMADO (pendiente cotización) · ICC(A)</t>
        </is>
      </c>
    </row>
    <row r="23">
      <c r="A23" s="2" t="inlineStr">
        <is>
          <t>Base asegurada (fracción del valor FCA + flete)</t>
        </is>
      </c>
      <c r="B23" s="33" t="n">
        <v>1.1</v>
      </c>
      <c r="C23" s="2" t="inlineStr">
        <is>
          <t>×</t>
        </is>
      </c>
      <c r="D23" s="2" t="inlineStr">
        <is>
          <t>ESTIMADO (pendiente cotización) · Práctica habitual: 110%</t>
        </is>
      </c>
    </row>
    <row r="24">
      <c r="A24" s="2" t="inlineStr">
        <is>
          <t>Libras por kilogramo</t>
        </is>
      </c>
      <c r="B24" s="4" t="n">
        <v>2.20462</v>
      </c>
      <c r="C24" s="2" t="inlineStr">
        <is>
          <t>lb/kg</t>
        </is>
      </c>
      <c r="D24" s="2" t="inlineStr">
        <is>
          <t>Medido</t>
        </is>
      </c>
    </row>
    <row r="25">
      <c r="A25" s="2" t="inlineStr">
        <is>
          <t>DDP incluye IVA (1 = sí, 0 = no)</t>
        </is>
      </c>
      <c r="B25" s="30" t="n">
        <v>0</v>
      </c>
      <c r="C25" s="2" t="inlineStr"/>
      <c r="D25" s="2" t="inlineStr">
        <is>
          <t>Decisión CTCx · Pendiente; práctica habitual en café verde: IVA a cargo del importador</t>
        </is>
      </c>
    </row>
    <row r="26">
      <c r="A26" s="2" t="inlineStr">
        <is>
          <t>Cierre de subasta Tyrian de ejemplo (× PVC)</t>
        </is>
      </c>
      <c r="B26" s="34" t="n">
        <v>2.6</v>
      </c>
      <c r="C26" s="2" t="inlineStr">
        <is>
          <t>×</t>
        </is>
      </c>
      <c r="D26" s="2" t="inlineStr">
        <is>
          <t>Entrada · Sólo para la columna Tyrian</t>
        </is>
      </c>
    </row>
    <row r="27">
      <c r="A27" s="2" t="inlineStr">
        <is>
          <t>Destino DDP seleccionado (de la tabla de abajo)</t>
        </is>
      </c>
      <c r="B27" s="4" t="inlineStr">
        <is>
          <t>Estados Unidos (Miami / Nueva York)</t>
        </is>
      </c>
      <c r="C27" s="2" t="inlineStr"/>
      <c r="D27" s="2" t="inlineStr">
        <is>
          <t>Entrada · Escribir exactamente como en la tabla de destinos</t>
        </is>
      </c>
    </row>
    <row r="29">
      <c r="A29" s="12" t="inlineStr">
        <is>
          <t>Escalas de flete aéreo Bogotá → aeropuerto destino (todo incluido) · ESTIMADAS · regla: se cobra la escala del peso del pedido, nunca peor; crédito si la consolidación alcanza una escala mejor</t>
        </is>
      </c>
    </row>
    <row r="30">
      <c r="A30" s="3" t="inlineStr">
        <is>
          <t>Escala desde (kg)</t>
        </is>
      </c>
      <c r="B30" s="3" t="inlineStr">
        <is>
          <t>US$/kg</t>
        </is>
      </c>
      <c r="C30" s="3" t="inlineStr">
        <is>
          <t>Hasta (kg)</t>
        </is>
      </c>
      <c r="D30" s="3" t="inlineStr">
        <is>
          <t>Nota</t>
        </is>
      </c>
    </row>
    <row r="31">
      <c r="A31" s="26" t="n">
        <v>0</v>
      </c>
      <c r="B31" s="31" t="n">
        <v>6.5</v>
      </c>
      <c r="C31" s="2" t="n">
        <v>44</v>
      </c>
    </row>
    <row r="32">
      <c r="A32" s="26" t="n">
        <v>45</v>
      </c>
      <c r="B32" s="31" t="n">
        <v>5.2</v>
      </c>
      <c r="C32" s="2" t="n">
        <v>99</v>
      </c>
    </row>
    <row r="33">
      <c r="A33" s="26" t="n">
        <v>100</v>
      </c>
      <c r="B33" s="31" t="n">
        <v>4.2</v>
      </c>
      <c r="C33" s="2" t="n">
        <v>299</v>
      </c>
    </row>
    <row r="34">
      <c r="A34" s="26" t="n">
        <v>300</v>
      </c>
      <c r="B34" s="31" t="n">
        <v>3.6</v>
      </c>
      <c r="C34" s="2" t="n">
        <v>499</v>
      </c>
    </row>
    <row r="35">
      <c r="A35" s="26" t="n">
        <v>500</v>
      </c>
      <c r="B35" s="31" t="n">
        <v>3.2</v>
      </c>
      <c r="C35" s="2" t="n">
        <v>999</v>
      </c>
    </row>
    <row r="36">
      <c r="A36" s="26" t="n">
        <v>1000</v>
      </c>
      <c r="B36" s="31" t="n">
        <v>2.9</v>
      </c>
      <c r="C36" s="2" t="inlineStr">
        <is>
          <t>∞</t>
        </is>
      </c>
    </row>
    <row r="38">
      <c r="A38" s="12" t="inlineStr">
        <is>
          <t>Destinos DDP habilitados · costos ESTIMADOS por kg · arancel del café verde 0% en EE.UU. y UE</t>
        </is>
      </c>
    </row>
    <row r="39">
      <c r="A39" s="3" t="inlineStr">
        <is>
          <t>Destino</t>
        </is>
      </c>
      <c r="B39" s="3" t="inlineStr">
        <is>
          <t>Nacionalización US$/kg</t>
        </is>
      </c>
      <c r="C39" s="3" t="inlineStr">
        <is>
          <t>Entrega final US$/kg</t>
        </is>
      </c>
      <c r="D39" s="3" t="inlineStr">
        <is>
          <t>IVA</t>
        </is>
      </c>
      <c r="E39" s="3" t="inlineStr">
        <is>
          <t>Habilitado</t>
        </is>
      </c>
    </row>
    <row r="40">
      <c r="A40" s="4" t="inlineStr">
        <is>
          <t>Estados Unidos (Miami / Nueva York)</t>
        </is>
      </c>
      <c r="B40" s="31" t="n">
        <v>0.25</v>
      </c>
      <c r="C40" s="31" t="n">
        <v>0.4</v>
      </c>
      <c r="D40" s="8" t="n">
        <v>0</v>
      </c>
      <c r="E40" s="2" t="inlineStr">
        <is>
          <t>sí</t>
        </is>
      </c>
    </row>
    <row r="41">
      <c r="A41" s="4" t="inlineStr">
        <is>
          <t>Países Bajos (Ámsterdam)</t>
        </is>
      </c>
      <c r="B41" s="31" t="n">
        <v>0.3</v>
      </c>
      <c r="C41" s="31" t="n">
        <v>0.45</v>
      </c>
      <c r="D41" s="8" t="n">
        <v>0.09</v>
      </c>
      <c r="E41" s="2" t="inlineStr">
        <is>
          <t>sí</t>
        </is>
      </c>
    </row>
    <row r="42">
      <c r="A42" s="4" t="inlineStr">
        <is>
          <t>Alemania (Fráncfort)</t>
        </is>
      </c>
      <c r="B42" s="31" t="n">
        <v>0.3</v>
      </c>
      <c r="C42" s="31" t="n">
        <v>0.45</v>
      </c>
      <c r="D42" s="8" t="n">
        <v>0.07000000000000001</v>
      </c>
      <c r="E42" s="2" t="inlineStr">
        <is>
          <t>sí</t>
        </is>
      </c>
    </row>
    <row r="45">
      <c r="A45" s="12" t="inlineStr">
        <is>
          <t>Pila por banda (US$/kg de verde garantizado; CIP al MOQ de cada banda; DDP para el destino seleccionado)</t>
        </is>
      </c>
    </row>
    <row r="46">
      <c r="A46" s="3" t="inlineStr">
        <is>
          <t>Concepto</t>
        </is>
      </c>
      <c r="B46" s="3" t="inlineStr">
        <is>
          <t>Black</t>
        </is>
      </c>
      <c r="C46" s="3" t="inlineStr">
        <is>
          <t>Red</t>
        </is>
      </c>
      <c r="D46" s="3" t="inlineStr">
        <is>
          <t>Blue</t>
        </is>
      </c>
      <c r="E46" s="3" t="inlineStr">
        <is>
          <t>Gold</t>
        </is>
      </c>
      <c r="F46" s="3" t="inlineStr">
        <is>
          <t>Tyrian</t>
        </is>
      </c>
      <c r="G46" s="3" t="inlineStr">
        <is>
          <t>Regla</t>
        </is>
      </c>
    </row>
    <row r="47">
      <c r="A47" s="2" t="inlineStr">
        <is>
          <t>COP por carga (precio del contrato; Tyrian = cierre de ejemplo)</t>
        </is>
      </c>
      <c r="B47" s="18">
        <f>Escalera!C5</f>
        <v/>
      </c>
      <c r="C47" s="18">
        <f>Escalera!C6</f>
        <v/>
      </c>
      <c r="D47" s="18">
        <f>Escalera!C7</f>
        <v/>
      </c>
      <c r="E47" s="18">
        <f>Escalera!C8</f>
        <v/>
      </c>
      <c r="F47" s="18">
        <f>Calculo!$C$17*$B$26</f>
        <v/>
      </c>
      <c r="G47" s="2" t="inlineStr">
        <is>
          <t>Escalera (PVC × multiplicador)</t>
        </is>
      </c>
    </row>
    <row r="48">
      <c r="A48" s="2" t="inlineStr">
        <is>
          <t>US$ por carga a la TRM del corte</t>
        </is>
      </c>
      <c r="B48" s="22">
        <f>B47/Entradas!$B$20</f>
        <v/>
      </c>
      <c r="C48" s="22">
        <f>C47/Entradas!$B$20</f>
        <v/>
      </c>
      <c r="D48" s="22">
        <f>D47/Entradas!$B$20</f>
        <v/>
      </c>
      <c r="E48" s="22">
        <f>E47/Entradas!$B$20</f>
        <v/>
      </c>
      <c r="F48" s="22">
        <f>F47/Entradas!$B$20</f>
        <v/>
      </c>
      <c r="G48" s="2" t="inlineStr">
        <is>
          <t>Fijo durante la ventana de venta</t>
        </is>
      </c>
    </row>
    <row r="49">
      <c r="A49" s="2" t="inlineStr">
        <is>
          <t>N0 · Finca (÷ kg garantizados − crédito por café fuera de garantía)</t>
        </is>
      </c>
      <c r="B49" s="21">
        <f>B48/$B$5-($B$4-$B$5)*$B$7/$B$5</f>
        <v/>
      </c>
      <c r="C49" s="21">
        <f>C48/$B$5-($B$4-$B$5)*$B$7/$B$5</f>
        <v/>
      </c>
      <c r="D49" s="21">
        <f>D48/$B$5-($B$4-$B$5)*$B$7/$B$5</f>
        <v/>
      </c>
      <c r="E49" s="21">
        <f>E48/$B$5-($B$4-$B$5)*$B$7/$B$5</f>
        <v/>
      </c>
      <c r="F49" s="21">
        <f>F48/$B$5-($B$4-$B$5)*$B$7/$B$5</f>
        <v/>
      </c>
      <c r="G49" s="2" t="inlineStr">
        <is>
          <t>Sobre los kg garantizados, no sobre los 93 kg teóricos</t>
        </is>
      </c>
    </row>
    <row r="50">
      <c r="A50" s="2" t="inlineStr">
        <is>
          <t>N1 · Empacado</t>
        </is>
      </c>
      <c r="B50" s="21">
        <f>B49+$B$8</f>
        <v/>
      </c>
      <c r="C50" s="21">
        <f>C49+$B$8</f>
        <v/>
      </c>
      <c r="D50" s="21">
        <f>D49+$B$8</f>
        <v/>
      </c>
      <c r="E50" s="21">
        <f>E49+$B$8</f>
        <v/>
      </c>
      <c r="F50" s="21">
        <f>F49+$B$8</f>
        <v/>
      </c>
      <c r="G50" s="2" t="inlineStr">
        <is>
          <t>+ procesamiento y empaque</t>
        </is>
      </c>
    </row>
    <row r="51">
      <c r="A51" s="2" t="inlineStr">
        <is>
          <t>FCA antes de la Tarifa CTCx</t>
        </is>
      </c>
      <c r="B51" s="21">
        <f>B50+$B$9+$B$10+$B$11</f>
        <v/>
      </c>
      <c r="C51" s="21">
        <f>C50+$B$9+$B$10+$B$11</f>
        <v/>
      </c>
      <c r="D51" s="21">
        <f>D50+$B$9+$B$10+$B$11</f>
        <v/>
      </c>
      <c r="E51" s="21">
        <f>E50+$B$9+$B$10+$B$11</f>
        <v/>
      </c>
      <c r="F51" s="21">
        <f>F50+$B$9+$B$10+$B$11</f>
        <v/>
      </c>
      <c r="G51" s="2" t="inlineStr">
        <is>
          <t>+ paletizaje + transporte interno + exportación</t>
        </is>
      </c>
    </row>
    <row r="52">
      <c r="A52" s="2" t="inlineStr">
        <is>
          <t>Tarifa CTCx en FCA (base × factor de banda + recargo FCA)</t>
        </is>
      </c>
      <c r="B52" s="21">
        <f>$B$12*$B$13+$B$18</f>
        <v/>
      </c>
      <c r="C52" s="21">
        <f>$B$12*$B$14+$B$18</f>
        <v/>
      </c>
      <c r="D52" s="21">
        <f>$B$12*$B$15+$B$18</f>
        <v/>
      </c>
      <c r="E52" s="21">
        <f>$B$12*$B$16+$B$18</f>
        <v/>
      </c>
      <c r="F52" s="21">
        <f>$B$12*$B$17+$B$18</f>
        <v/>
      </c>
      <c r="G52" s="2" t="inlineStr">
        <is>
          <t>No depende del modo de envío</t>
        </is>
      </c>
    </row>
    <row r="53">
      <c r="A53" s="12" t="inlineStr">
        <is>
          <t>N2 · FCA Bogotá (≈ FOB)</t>
        </is>
      </c>
      <c r="B53" s="35">
        <f>B51+B52</f>
        <v/>
      </c>
      <c r="C53" s="35">
        <f>C51+C52</f>
        <v/>
      </c>
      <c r="D53" s="35">
        <f>D51+D52</f>
        <v/>
      </c>
      <c r="E53" s="35">
        <f>E51+E52</f>
        <v/>
      </c>
      <c r="F53" s="35">
        <f>F51+F52</f>
        <v/>
      </c>
      <c r="G53" s="2" t="inlineStr">
        <is>
          <t>Precio de listado FCA</t>
        </is>
      </c>
    </row>
    <row r="54">
      <c r="A54" s="2" t="inlineStr">
        <is>
          <t>MOQ del comprador (kg)</t>
        </is>
      </c>
      <c r="B54" s="22">
        <f>Grado_y_Tyrian!B26</f>
        <v/>
      </c>
      <c r="C54" s="22">
        <f>Grado_y_Tyrian!B27</f>
        <v/>
      </c>
      <c r="D54" s="22">
        <f>Grado_y_Tyrian!B28</f>
        <v/>
      </c>
      <c r="E54" s="22">
        <f>Grado_y_Tyrian!B29</f>
        <v/>
      </c>
      <c r="F54" s="22">
        <f>Grado_y_Tyrian!B30</f>
        <v/>
      </c>
      <c r="G54" s="2" t="inlineStr">
        <is>
          <t>Múltiplo de la bolsa</t>
        </is>
      </c>
    </row>
    <row r="55">
      <c r="A55" s="2" t="inlineStr">
        <is>
          <t>Bolsas en el MOQ</t>
        </is>
      </c>
      <c r="B55" s="22">
        <f>B54/$B$6</f>
        <v/>
      </c>
      <c r="C55" s="22">
        <f>C54/$B$6</f>
        <v/>
      </c>
      <c r="D55" s="22">
        <f>D54/$B$6</f>
        <v/>
      </c>
      <c r="E55" s="22">
        <f>E54/$B$6</f>
        <v/>
      </c>
      <c r="F55" s="22">
        <f>F54/$B$6</f>
        <v/>
      </c>
      <c r="G55" s="2" t="inlineStr"/>
    </row>
    <row r="56">
      <c r="A56" s="2" t="inlineStr">
        <is>
          <t>Flete aéreo al MOQ (escala × factor de modo)</t>
        </is>
      </c>
      <c r="B56" s="21">
        <f>VLOOKUP(B54,$A$31:$B$36,2,TRUE)*$B$21</f>
        <v/>
      </c>
      <c r="C56" s="21">
        <f>VLOOKUP(C54,$A$31:$B$36,2,TRUE)*$B$21</f>
        <v/>
      </c>
      <c r="D56" s="21">
        <f>VLOOKUP(D54,$A$31:$B$36,2,TRUE)*$B$21</f>
        <v/>
      </c>
      <c r="E56" s="21">
        <f>VLOOKUP(E54,$A$31:$B$36,2,TRUE)*$B$21</f>
        <v/>
      </c>
      <c r="F56" s="21">
        <f>VLOOKUP(F54,$A$31:$B$36,2,TRUE)*$B$21</f>
        <v/>
      </c>
      <c r="G56" s="2" t="inlineStr">
        <is>
          <t>Escala del peso del pedido; nunca peor</t>
        </is>
      </c>
    </row>
    <row r="57">
      <c r="A57" s="2" t="inlineStr">
        <is>
          <t>Seguro</t>
        </is>
      </c>
      <c r="B57" s="21">
        <f>$B$22*$B$23*(B53+B56)</f>
        <v/>
      </c>
      <c r="C57" s="21">
        <f>$B$22*$B$23*(C53+C56)</f>
        <v/>
      </c>
      <c r="D57" s="21">
        <f>$B$22*$B$23*(D53+D56)</f>
        <v/>
      </c>
      <c r="E57" s="21">
        <f>$B$22*$B$23*(E53+E56)</f>
        <v/>
      </c>
      <c r="F57" s="21">
        <f>$B$22*$B$23*(F53+F56)</f>
        <v/>
      </c>
      <c r="G57" s="2" t="inlineStr">
        <is>
          <t>Prima × base × (FCA + flete)</t>
        </is>
      </c>
    </row>
    <row r="58">
      <c r="A58" s="2" t="inlineStr">
        <is>
          <t>Recargo de servicio CIP</t>
        </is>
      </c>
      <c r="B58" s="21">
        <f>$B$19</f>
        <v/>
      </c>
      <c r="C58" s="21">
        <f>$B$19</f>
        <v/>
      </c>
      <c r="D58" s="21">
        <f>$B$19</f>
        <v/>
      </c>
      <c r="E58" s="21">
        <f>$B$19</f>
        <v/>
      </c>
      <c r="F58" s="21">
        <f>$B$19</f>
        <v/>
      </c>
      <c r="G58" s="2" t="inlineStr"/>
    </row>
    <row r="59">
      <c r="A59" s="12" t="inlineStr">
        <is>
          <t>N3 · CIP aeropuerto de destino (≈ CIF)</t>
        </is>
      </c>
      <c r="B59" s="35">
        <f>B53+B56+B57+B58</f>
        <v/>
      </c>
      <c r="C59" s="35">
        <f>C53+C56+C57+C58</f>
        <v/>
      </c>
      <c r="D59" s="35">
        <f>D53+D56+D57+D58</f>
        <v/>
      </c>
      <c r="E59" s="35">
        <f>E53+E56+E57+E58</f>
        <v/>
      </c>
      <c r="F59" s="35">
        <f>F53+F56+F57+F58</f>
        <v/>
      </c>
      <c r="G59" s="2" t="inlineStr">
        <is>
          <t>Flete y seguro como líneas separadas en el listado</t>
        </is>
      </c>
    </row>
    <row r="60">
      <c r="A60" s="2" t="inlineStr">
        <is>
          <t>Costos de destino (nacionalización + entrega) del destino seleccionado</t>
        </is>
      </c>
      <c r="B60" s="21">
        <f>VLOOKUP($B$27,$A$40:$C$42,2,FALSE)+VLOOKUP($B$27,$A$40:$C$42,3,FALSE)</f>
        <v/>
      </c>
      <c r="C60" s="21">
        <f>VLOOKUP($B$27,$A$40:$C$42,2,FALSE)+VLOOKUP($B$27,$A$40:$C$42,3,FALSE)</f>
        <v/>
      </c>
      <c r="D60" s="21">
        <f>VLOOKUP($B$27,$A$40:$C$42,2,FALSE)+VLOOKUP($B$27,$A$40:$C$42,3,FALSE)</f>
        <v/>
      </c>
      <c r="E60" s="21">
        <f>VLOOKUP($B$27,$A$40:$C$42,2,FALSE)+VLOOKUP($B$27,$A$40:$C$42,3,FALSE)</f>
        <v/>
      </c>
      <c r="F60" s="21">
        <f>VLOOKUP($B$27,$A$40:$C$42,2,FALSE)+VLOOKUP($B$27,$A$40:$C$42,3,FALSE)</f>
        <v/>
      </c>
      <c r="G60" s="2" t="inlineStr">
        <is>
          <t>Sólo destinos habilitados</t>
        </is>
      </c>
    </row>
    <row r="61">
      <c r="A61" s="2" t="inlineStr">
        <is>
          <t>Recargo de servicio DDP</t>
        </is>
      </c>
      <c r="B61" s="21">
        <f>$B$20</f>
        <v/>
      </c>
      <c r="C61" s="21">
        <f>$B$20</f>
        <v/>
      </c>
      <c r="D61" s="21">
        <f>$B$20</f>
        <v/>
      </c>
      <c r="E61" s="21">
        <f>$B$20</f>
        <v/>
      </c>
      <c r="F61" s="21">
        <f>$B$20</f>
        <v/>
      </c>
      <c r="G61" s="2" t="inlineStr"/>
    </row>
    <row r="62">
      <c r="A62" s="2" t="inlineStr">
        <is>
          <t>N4 · DDP sin IVA</t>
        </is>
      </c>
      <c r="B62" s="21">
        <f>B59+B60+B61</f>
        <v/>
      </c>
      <c r="C62" s="21">
        <f>C59+C60+C61</f>
        <v/>
      </c>
      <c r="D62" s="21">
        <f>D59+D60+D61</f>
        <v/>
      </c>
      <c r="E62" s="21">
        <f>E59+E60+E61</f>
        <v/>
      </c>
      <c r="F62" s="21">
        <f>F59+F60+F61</f>
        <v/>
      </c>
      <c r="G62" s="2" t="inlineStr"/>
    </row>
    <row r="63">
      <c r="A63" s="2" t="inlineStr">
        <is>
          <t>IVA (si el DDP lo incluye)</t>
        </is>
      </c>
      <c r="B63" s="21">
        <f>IF($B$25=1,B62*VLOOKUP($B$27,$A$40:$D$42,4,FALSE),0)</f>
        <v/>
      </c>
      <c r="C63" s="21">
        <f>IF($B$25=1,C62*VLOOKUP($B$27,$A$40:$D$42,4,FALSE),0)</f>
        <v/>
      </c>
      <c r="D63" s="21">
        <f>IF($B$25=1,D62*VLOOKUP($B$27,$A$40:$D$42,4,FALSE),0)</f>
        <v/>
      </c>
      <c r="E63" s="21">
        <f>IF($B$25=1,E62*VLOOKUP($B$27,$A$40:$D$42,4,FALSE),0)</f>
        <v/>
      </c>
      <c r="F63" s="21">
        <f>IF($B$25=1,F62*VLOOKUP($B$27,$A$40:$D$42,4,FALSE),0)</f>
        <v/>
      </c>
      <c r="G63" s="2" t="inlineStr"/>
    </row>
    <row r="64">
      <c r="A64" s="12" t="inlineStr">
        <is>
          <t>N4 · DDP total</t>
        </is>
      </c>
      <c r="B64" s="35">
        <f>B62+B63</f>
        <v/>
      </c>
      <c r="C64" s="35">
        <f>C62+C63</f>
        <v/>
      </c>
      <c r="D64" s="35">
        <f>D62+D63</f>
        <v/>
      </c>
      <c r="E64" s="35">
        <f>E62+E63</f>
        <v/>
      </c>
      <c r="F64" s="35">
        <f>F62+F63</f>
        <v/>
      </c>
      <c r="G64" s="2" t="inlineStr"/>
    </row>
    <row r="65">
      <c r="A65" s="2" t="inlineStr">
        <is>
          <t>N2 FCA en US$/lb</t>
        </is>
      </c>
      <c r="B65" s="21">
        <f>B53/$B$24</f>
        <v/>
      </c>
      <c r="C65" s="21">
        <f>C53/$B$24</f>
        <v/>
      </c>
      <c r="D65" s="21">
        <f>D53/$B$24</f>
        <v/>
      </c>
      <c r="E65" s="21">
        <f>E53/$B$24</f>
        <v/>
      </c>
      <c r="F65" s="21">
        <f>F53/$B$24</f>
        <v/>
      </c>
      <c r="G65" s="2" t="inlineStr">
        <is>
          <t>Alimenta Escalera!H</t>
        </is>
      </c>
    </row>
    <row r="66">
      <c r="A66" s="2" t="inlineStr">
        <is>
          <t>N3 CIP en US$/lb</t>
        </is>
      </c>
      <c r="B66" s="21">
        <f>B59/$B$24</f>
        <v/>
      </c>
      <c r="C66" s="21">
        <f>C59/$B$24</f>
        <v/>
      </c>
      <c r="D66" s="21">
        <f>D59/$B$24</f>
        <v/>
      </c>
      <c r="E66" s="21">
        <f>E59/$B$24</f>
        <v/>
      </c>
      <c r="F66" s="21">
        <f>F59/$B$24</f>
        <v/>
      </c>
      <c r="G66" s="2" t="inlineStr">
        <is>
          <t>Alimenta Escalera!K y Contrato!B24</t>
        </is>
      </c>
    </row>
    <row r="67">
      <c r="A67" s="2" t="inlineStr">
        <is>
          <t>Precio por bolsa a CIP</t>
        </is>
      </c>
      <c r="B67" s="21">
        <f>B59*$B$6</f>
        <v/>
      </c>
      <c r="C67" s="21">
        <f>C59*$B$6</f>
        <v/>
      </c>
      <c r="D67" s="21">
        <f>D59*$B$6</f>
        <v/>
      </c>
      <c r="E67" s="21">
        <f>E59*$B$6</f>
        <v/>
      </c>
      <c r="F67" s="21">
        <f>F59*$B$6</f>
        <v/>
      </c>
      <c r="G67" s="2" t="inlineStr"/>
    </row>
    <row r="68">
      <c r="A68" s="2" t="inlineStr">
        <is>
          <t>Pedido MOQ a CIP (US$)</t>
        </is>
      </c>
      <c r="B68" s="22">
        <f>B59*B54</f>
        <v/>
      </c>
      <c r="C68" s="22">
        <f>C59*C54</f>
        <v/>
      </c>
      <c r="D68" s="22">
        <f>D59*D54</f>
        <v/>
      </c>
      <c r="E68" s="22">
        <f>E59*E54</f>
        <v/>
      </c>
      <c r="F68" s="22">
        <f>F59*F54</f>
        <v/>
      </c>
      <c r="G68" s="2" t="inlineStr"/>
    </row>
    <row r="69">
      <c r="A69" s="2" t="inlineStr">
        <is>
          <t>Cargas llamadas al productor por un MOQ</t>
        </is>
      </c>
      <c r="B69" s="22">
        <f>ROUNDUP(B54/$B$5,0)</f>
        <v/>
      </c>
      <c r="C69" s="22">
        <f>ROUNDUP(C54/$B$5,0)</f>
        <v/>
      </c>
      <c r="D69" s="22">
        <f>ROUNDUP(D54/$B$5,0)</f>
        <v/>
      </c>
      <c r="E69" s="22">
        <f>ROUNDUP(E54/$B$5,0)</f>
        <v/>
      </c>
      <c r="F69" s="22">
        <f>ROUNDUP(F54/$B$5,0)</f>
        <v/>
      </c>
      <c r="G69" s="2" t="inlineStr">
        <is>
          <t>Formato 4</t>
        </is>
      </c>
    </row>
    <row r="70">
      <c r="A70" s="2" t="inlineStr">
        <is>
          <t>MOQ es múltiplo de la bolsa</t>
        </is>
      </c>
      <c r="B70" s="2">
        <f>IF(MOD(B54,$B$6)=0,"sí","NO")</f>
        <v/>
      </c>
      <c r="C70" s="2">
        <f>IF(MOD(C54,$B$6)=0,"sí","NO")</f>
        <v/>
      </c>
      <c r="D70" s="2">
        <f>IF(MOD(D54,$B$6)=0,"sí","NO")</f>
        <v/>
      </c>
      <c r="E70" s="2">
        <f>IF(MOD(E54,$B$6)=0,"sí","NO")</f>
        <v/>
      </c>
      <c r="F70" s="2">
        <f>IF(MOD(F54,$B$6)=0,"sí","NO")</f>
        <v/>
      </c>
      <c r="G70" s="2" t="inlineStr"/>
    </row>
    <row r="71">
      <c r="A71" s="2" t="inlineStr">
        <is>
          <t>El lote mínimo de la banda cubre el MOQ</t>
        </is>
      </c>
      <c r="B71" s="2">
        <f>IF(5*$B$5&gt;=B54,"sí","NO")</f>
        <v/>
      </c>
      <c r="C71" s="2">
        <f>IF(5*$B$5&gt;=C54,"sí","NO")</f>
        <v/>
      </c>
      <c r="D71" s="2">
        <f>IF(3*$B$5&gt;=D54,"sí","NO")</f>
        <v/>
      </c>
      <c r="E71" s="2">
        <f>IF(3*$B$5&gt;=E54,"sí","NO")</f>
        <v/>
      </c>
      <c r="F71" s="2">
        <f>IF(1*$B$5&gt;=F54,"sí","NO")</f>
        <v/>
      </c>
      <c r="G71" s="2" t="inlineStr">
        <is>
          <t>Lotes mínimos: Black/Red 5, Blue/Gold 3, Tyrian 1 carga</t>
        </is>
      </c>
    </row>
    <row r="74">
      <c r="A74" s="12" t="inlineStr">
        <is>
          <t>Sensibilidad a los kilos garantizados (Black, FCA en US$/lb y sobreprecio frente a la referencia SCTG)</t>
        </is>
      </c>
    </row>
    <row r="75">
      <c r="A75" s="3" t="inlineStr">
        <is>
          <t>Kg garantizados</t>
        </is>
      </c>
      <c r="B75" s="3" t="inlineStr">
        <is>
          <t>Bolsas</t>
        </is>
      </c>
      <c r="C75" s="3" t="inlineStr">
        <is>
          <t>Merma admisible FR 94</t>
        </is>
      </c>
      <c r="D75" s="3" t="inlineStr">
        <is>
          <t>Merma admisible FR 96</t>
        </is>
      </c>
      <c r="E75" s="3" t="inlineStr">
        <is>
          <t>Black FCA US$/lb</t>
        </is>
      </c>
      <c r="F75" s="3" t="inlineStr">
        <is>
          <t>Sobre referencia</t>
        </is>
      </c>
      <c r="G75" s="3" t="inlineStr"/>
    </row>
    <row r="76">
      <c r="A76" s="26" t="n">
        <v>72</v>
      </c>
      <c r="B76" s="22">
        <f>A76/$B$6</f>
        <v/>
      </c>
      <c r="C76" s="13">
        <f>1-A76/$B$4</f>
        <v/>
      </c>
      <c r="D76" s="13">
        <f>1-A76/($B$4*94/96)</f>
        <v/>
      </c>
      <c r="E76" s="21">
        <f>(Escalera!$C$5/Entradas!$B$20/A76-($B$4-A76)*$B$7/A76+$B$8+$B$9+$B$10+$B$11+$B$12*$B$13+$B$18)/$B$24</f>
        <v/>
      </c>
      <c r="F76" s="13">
        <f>E76/Escalera!$I$5-1</f>
        <v/>
      </c>
    </row>
    <row r="77">
      <c r="A77" s="26" t="n">
        <v>78</v>
      </c>
      <c r="B77" s="22">
        <f>A77/$B$6</f>
        <v/>
      </c>
      <c r="C77" s="13">
        <f>1-A77/$B$4</f>
        <v/>
      </c>
      <c r="D77" s="13">
        <f>1-A77/($B$4*94/96)</f>
        <v/>
      </c>
      <c r="E77" s="21">
        <f>(Escalera!$C$5/Entradas!$B$20/A77-($B$4-A77)*$B$7/A77+$B$8+$B$9+$B$10+$B$11+$B$12*$B$13+$B$18)/$B$24</f>
        <v/>
      </c>
      <c r="F77" s="13">
        <f>E77/Escalera!$I$5-1</f>
        <v/>
      </c>
    </row>
    <row r="78">
      <c r="A78" s="26" t="n">
        <v>84</v>
      </c>
      <c r="B78" s="22">
        <f>A78/$B$6</f>
        <v/>
      </c>
      <c r="C78" s="13">
        <f>1-A78/$B$4</f>
        <v/>
      </c>
      <c r="D78" s="13">
        <f>1-A78/($B$4*94/96)</f>
        <v/>
      </c>
      <c r="E78" s="21">
        <f>(Escalera!$C$5/Entradas!$B$20/A78-($B$4-A78)*$B$7/A78+$B$8+$B$9+$B$10+$B$11+$B$12*$B$13+$B$18)/$B$24</f>
        <v/>
      </c>
      <c r="F78" s="13">
        <f>E78/Escalera!$I$5-1</f>
        <v/>
      </c>
    </row>
    <row r="79">
      <c r="A79" s="26" t="n">
        <v>90</v>
      </c>
      <c r="B79" s="22">
        <f>A79/$B$6</f>
        <v/>
      </c>
      <c r="C79" s="13">
        <f>1-A79/$B$4</f>
        <v/>
      </c>
      <c r="D79" s="13">
        <f>1-A79/($B$4*94/96)</f>
        <v/>
      </c>
      <c r="E79" s="21">
        <f>(Escalera!$C$5/Entradas!$B$20/A79-($B$4-A79)*$B$7/A79+$B$8+$B$9+$B$10+$B$11+$B$12*$B$13+$B$18)/$B$24</f>
        <v/>
      </c>
      <c r="F79" s="13">
        <f>E79/Escalera!$I$5-1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2026-09-10T14:44:53Z</dcterms:created>
  <dcterms:modified xsi:type="dcterms:W3CDTF">2026-09-10T14:44:53Z</dcterms:modified>
</cp:coreProperties>
</file>